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ecast" sheetId="2" r:id="rId5"/>
  </sheets>
  <definedNames/>
  <calcPr/>
</workbook>
</file>

<file path=xl/sharedStrings.xml><?xml version="1.0" encoding="utf-8"?>
<sst xmlns="http://schemas.openxmlformats.org/spreadsheetml/2006/main" count="17" uniqueCount="16">
  <si>
    <t>yhat</t>
  </si>
  <si>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</si>
  <si>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</si>
  <si>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</si>
  <si>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</si>
  <si>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</si>
  <si>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</si>
  <si>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</si>
  <si>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</si>
  <si>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</si>
  <si>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weekly</t>
  </si>
  <si>
    <t>weekly_lower</t>
  </si>
  <si>
    <t>weekly_upper</t>
  </si>
  <si>
    <t>multiplicative_terms</t>
  </si>
  <si>
    <t>multiplicative_terms_lower</t>
  </si>
  <si>
    <t>multiplicative_terms_upper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</si>
</sst>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0;(#,##0.00)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Prophet Model Evaluation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Sheet1!$A$2:$A$281</c:f>
            </c:strRef>
          </c:cat>
          <c:val>
            <c:numRef>
              <c:f>Sheet1!$B$2:$B$281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Sheet1!$A$2:$A$281</c:f>
            </c:strRef>
          </c:cat>
          <c:val>
            <c:numRef>
              <c:f>Sheet1!$C$2:$C$281</c:f>
              <c:numCache/>
            </c:numRef>
          </c:val>
          <c:smooth val="0"/>
        </c:ser>
        <c:axId val="379736677"/>
        <c:axId val="512511995"/>
      </c:lineChart>
      <c:catAx>
        <c:axId val="379736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511995"/>
      </c:catAx>
      <c:valAx>
        <c:axId val="512511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97366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yhat plot- Future Predictions (30 days)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Sheet1!$C$249:$C$281</c:f>
              <c:numCache/>
            </c:numRef>
          </c:val>
          <c:smooth val="0"/>
        </c:ser>
        <c:axId val="1085721038"/>
        <c:axId val="906540449"/>
      </c:lineChart>
      <c:catAx>
        <c:axId val="1085721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540449"/>
      </c:catAx>
      <c:valAx>
        <c:axId val="906540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yhat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721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257175</xdr:colOff>
      <xdr:row>0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19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tr">
        <f>IFERROR(__xludf.DUMMYFUNCTION("GOOGLEFINANCE(""TSLA"",""price"",date(2025,1,3),date(2026,1,4))"),"Date")</f>
        <v>Date</v>
      </c>
      <c r="B1" s="2" t="str">
        <f>IFERROR(__xludf.DUMMYFUNCTION("""COMPUTED_VALUE"""),"Close")</f>
        <v>Close</v>
      </c>
      <c r="C1" s="3" t="s">
        <v>0</v>
      </c>
    </row>
    <row r="2">
      <c r="A2" s="4">
        <f>IFERROR(__xludf.DUMMYFUNCTION("""COMPUTED_VALUE"""),45660.66666666667)</f>
        <v>45660.66667</v>
      </c>
      <c r="B2" s="2">
        <f>IFERROR(__xludf.DUMMYFUNCTION("""COMPUTED_VALUE"""),410.44)</f>
        <v>410.44</v>
      </c>
      <c r="C2" s="3">
        <v>425.706015344768</v>
      </c>
    </row>
    <row r="3">
      <c r="A3" s="4">
        <f>IFERROR(__xludf.DUMMYFUNCTION("""COMPUTED_VALUE"""),45663.66666666667)</f>
        <v>45663.66667</v>
      </c>
      <c r="B3" s="2">
        <f>IFERROR(__xludf.DUMMYFUNCTION("""COMPUTED_VALUE"""),411.05)</f>
        <v>411.05</v>
      </c>
      <c r="C3" s="3">
        <v>419.92920833711</v>
      </c>
    </row>
    <row r="4">
      <c r="A4" s="4">
        <f>IFERROR(__xludf.DUMMYFUNCTION("""COMPUTED_VALUE"""),45664.66666666667)</f>
        <v>45664.66667</v>
      </c>
      <c r="B4" s="2">
        <f>IFERROR(__xludf.DUMMYFUNCTION("""COMPUTED_VALUE"""),394.36)</f>
        <v>394.36</v>
      </c>
      <c r="C4" s="3">
        <v>417.130255158138</v>
      </c>
    </row>
    <row r="5">
      <c r="A5" s="4">
        <f>IFERROR(__xludf.DUMMYFUNCTION("""COMPUTED_VALUE"""),45665.66666666667)</f>
        <v>45665.66667</v>
      </c>
      <c r="B5" s="2">
        <f>IFERROR(__xludf.DUMMYFUNCTION("""COMPUTED_VALUE"""),394.94)</f>
        <v>394.94</v>
      </c>
      <c r="C5" s="3">
        <v>417.722894953276</v>
      </c>
    </row>
    <row r="6">
      <c r="A6" s="4">
        <f>IFERROR(__xludf.DUMMYFUNCTION("""COMPUTED_VALUE"""),45667.66666666667)</f>
        <v>45667.66667</v>
      </c>
      <c r="B6" s="2">
        <f>IFERROR(__xludf.DUMMYFUNCTION("""COMPUTED_VALUE"""),394.74)</f>
        <v>394.74</v>
      </c>
      <c r="C6" s="3">
        <v>411.104564306082</v>
      </c>
    </row>
    <row r="7">
      <c r="A7" s="4">
        <f>IFERROR(__xludf.DUMMYFUNCTION("""COMPUTED_VALUE"""),45670.66666666667)</f>
        <v>45670.66667</v>
      </c>
      <c r="B7" s="2">
        <f>IFERROR(__xludf.DUMMYFUNCTION("""COMPUTED_VALUE"""),403.31)</f>
        <v>403.31</v>
      </c>
      <c r="C7" s="3">
        <v>405.327757298413</v>
      </c>
    </row>
    <row r="8">
      <c r="A8" s="4">
        <f>IFERROR(__xludf.DUMMYFUNCTION("""COMPUTED_VALUE"""),45671.66666666667)</f>
        <v>45671.66667</v>
      </c>
      <c r="B8" s="2">
        <f>IFERROR(__xludf.DUMMYFUNCTION("""COMPUTED_VALUE"""),396.36)</f>
        <v>396.36</v>
      </c>
      <c r="C8" s="3">
        <v>402.528804119451</v>
      </c>
    </row>
    <row r="9">
      <c r="A9" s="4">
        <f>IFERROR(__xludf.DUMMYFUNCTION("""COMPUTED_VALUE"""),45672.66666666667)</f>
        <v>45672.66667</v>
      </c>
      <c r="B9" s="2">
        <f>IFERROR(__xludf.DUMMYFUNCTION("""COMPUTED_VALUE"""),428.22)</f>
        <v>428.22</v>
      </c>
      <c r="C9" s="3">
        <v>403.121443914583</v>
      </c>
    </row>
    <row r="10">
      <c r="A10" s="4">
        <f>IFERROR(__xludf.DUMMYFUNCTION("""COMPUTED_VALUE"""),45673.66666666667)</f>
        <v>45673.66667</v>
      </c>
      <c r="B10" s="2">
        <f>IFERROR(__xludf.DUMMYFUNCTION("""COMPUTED_VALUE"""),413.82)</f>
        <v>413.82</v>
      </c>
      <c r="C10" s="3">
        <v>397.370037912063</v>
      </c>
    </row>
    <row r="11">
      <c r="A11" s="4">
        <f>IFERROR(__xludf.DUMMYFUNCTION("""COMPUTED_VALUE"""),45674.66666666667)</f>
        <v>45674.66667</v>
      </c>
      <c r="B11" s="2">
        <f>IFERROR(__xludf.DUMMYFUNCTION("""COMPUTED_VALUE"""),426.5)</f>
        <v>426.5</v>
      </c>
      <c r="C11" s="3">
        <v>396.503113276604</v>
      </c>
    </row>
    <row r="12">
      <c r="A12" s="4">
        <f>IFERROR(__xludf.DUMMYFUNCTION("""COMPUTED_VALUE"""),45678.66666666667)</f>
        <v>45678.66667</v>
      </c>
      <c r="B12" s="2">
        <f>IFERROR(__xludf.DUMMYFUNCTION("""COMPUTED_VALUE"""),424.07)</f>
        <v>424.07</v>
      </c>
      <c r="C12" s="3">
        <v>387.927353126942</v>
      </c>
    </row>
    <row r="13">
      <c r="A13" s="4">
        <f>IFERROR(__xludf.DUMMYFUNCTION("""COMPUTED_VALUE"""),45679.66666666667)</f>
        <v>45679.66667</v>
      </c>
      <c r="B13" s="2">
        <f>IFERROR(__xludf.DUMMYFUNCTION("""COMPUTED_VALUE"""),415.11)</f>
        <v>415.11</v>
      </c>
      <c r="C13" s="3">
        <v>388.519992931304</v>
      </c>
    </row>
    <row r="14">
      <c r="A14" s="4">
        <f>IFERROR(__xludf.DUMMYFUNCTION("""COMPUTED_VALUE"""),45680.66666666667)</f>
        <v>45680.66667</v>
      </c>
      <c r="B14" s="2">
        <f>IFERROR(__xludf.DUMMYFUNCTION("""COMPUTED_VALUE"""),412.38)</f>
        <v>412.38</v>
      </c>
      <c r="C14" s="3">
        <v>382.768586938022</v>
      </c>
    </row>
    <row r="15">
      <c r="A15" s="4">
        <f>IFERROR(__xludf.DUMMYFUNCTION("""COMPUTED_VALUE"""),45681.66666666667)</f>
        <v>45681.66667</v>
      </c>
      <c r="B15" s="2">
        <f>IFERROR(__xludf.DUMMYFUNCTION("""COMPUTED_VALUE"""),406.58)</f>
        <v>406.58</v>
      </c>
      <c r="C15" s="3">
        <v>381.901662302567</v>
      </c>
    </row>
    <row r="16">
      <c r="A16" s="4">
        <f>IFERROR(__xludf.DUMMYFUNCTION("""COMPUTED_VALUE"""),45684.66666666667)</f>
        <v>45684.66667</v>
      </c>
      <c r="B16" s="2">
        <f>IFERROR(__xludf.DUMMYFUNCTION("""COMPUTED_VALUE"""),397.15)</f>
        <v>397.15</v>
      </c>
      <c r="C16" s="3">
        <v>376.124855322594</v>
      </c>
    </row>
    <row r="17">
      <c r="A17" s="4">
        <f>IFERROR(__xludf.DUMMYFUNCTION("""COMPUTED_VALUE"""),45685.66666666667)</f>
        <v>45685.66667</v>
      </c>
      <c r="B17" s="2">
        <f>IFERROR(__xludf.DUMMYFUNCTION("""COMPUTED_VALUE"""),398.09)</f>
        <v>398.09</v>
      </c>
      <c r="C17" s="3">
        <v>373.325902152889</v>
      </c>
    </row>
    <row r="18">
      <c r="A18" s="4">
        <f>IFERROR(__xludf.DUMMYFUNCTION("""COMPUTED_VALUE"""),45686.66666666667)</f>
        <v>45686.66667</v>
      </c>
      <c r="B18" s="2">
        <f>IFERROR(__xludf.DUMMYFUNCTION("""COMPUTED_VALUE"""),389.1)</f>
        <v>389.1</v>
      </c>
      <c r="C18" s="3">
        <v>373.918541957261</v>
      </c>
    </row>
    <row r="19">
      <c r="A19" s="4">
        <f>IFERROR(__xludf.DUMMYFUNCTION("""COMPUTED_VALUE"""),45687.66666666667)</f>
        <v>45687.66667</v>
      </c>
      <c r="B19" s="2">
        <f>IFERROR(__xludf.DUMMYFUNCTION("""COMPUTED_VALUE"""),400.28)</f>
        <v>400.28</v>
      </c>
      <c r="C19" s="3">
        <v>368.167135967108</v>
      </c>
    </row>
    <row r="20">
      <c r="A20" s="4">
        <f>IFERROR(__xludf.DUMMYFUNCTION("""COMPUTED_VALUE"""),45688.66666666667)</f>
        <v>45688.66667</v>
      </c>
      <c r="B20" s="2">
        <f>IFERROR(__xludf.DUMMYFUNCTION("""COMPUTED_VALUE"""),404.6)</f>
        <v>404.6</v>
      </c>
      <c r="C20" s="3">
        <v>367.300211334795</v>
      </c>
    </row>
    <row r="21">
      <c r="A21" s="4">
        <f>IFERROR(__xludf.DUMMYFUNCTION("""COMPUTED_VALUE"""),45691.66666666667)</f>
        <v>45691.66667</v>
      </c>
      <c r="B21" s="2">
        <f>IFERROR(__xludf.DUMMYFUNCTION("""COMPUTED_VALUE"""),383.68)</f>
        <v>383.68</v>
      </c>
      <c r="C21" s="3">
        <v>361.523404364189</v>
      </c>
    </row>
    <row r="22">
      <c r="A22" s="4">
        <f>IFERROR(__xludf.DUMMYFUNCTION("""COMPUTED_VALUE"""),45692.66666666667)</f>
        <v>45692.66667</v>
      </c>
      <c r="B22" s="2">
        <f>IFERROR(__xludf.DUMMYFUNCTION("""COMPUTED_VALUE"""),392.21)</f>
        <v>392.21</v>
      </c>
      <c r="C22" s="3">
        <v>358.72445119761</v>
      </c>
    </row>
    <row r="23">
      <c r="A23" s="4">
        <f>IFERROR(__xludf.DUMMYFUNCTION("""COMPUTED_VALUE"""),45693.66666666667)</f>
        <v>45693.66667</v>
      </c>
      <c r="B23" s="2">
        <f>IFERROR(__xludf.DUMMYFUNCTION("""COMPUTED_VALUE"""),378.17)</f>
        <v>378.17</v>
      </c>
      <c r="C23" s="3">
        <v>359.317091005101</v>
      </c>
    </row>
    <row r="24">
      <c r="A24" s="4">
        <f>IFERROR(__xludf.DUMMYFUNCTION("""COMPUTED_VALUE"""),45694.66666666667)</f>
        <v>45694.66667</v>
      </c>
      <c r="B24" s="2">
        <f>IFERROR(__xludf.DUMMYFUNCTION("""COMPUTED_VALUE"""),374.32)</f>
        <v>374.32</v>
      </c>
      <c r="C24" s="3">
        <v>353.565685014948</v>
      </c>
    </row>
    <row r="25">
      <c r="A25" s="4">
        <f>IFERROR(__xludf.DUMMYFUNCTION("""COMPUTED_VALUE"""),45695.66666666667)</f>
        <v>45695.66667</v>
      </c>
      <c r="B25" s="2">
        <f>IFERROR(__xludf.DUMMYFUNCTION("""COMPUTED_VALUE"""),361.62)</f>
        <v>361.62</v>
      </c>
      <c r="C25" s="3">
        <v>352.698760382638</v>
      </c>
    </row>
    <row r="26">
      <c r="A26" s="4">
        <f>IFERROR(__xludf.DUMMYFUNCTION("""COMPUTED_VALUE"""),45698.66666666667)</f>
        <v>45698.66667</v>
      </c>
      <c r="B26" s="2">
        <f>IFERROR(__xludf.DUMMYFUNCTION("""COMPUTED_VALUE"""),350.73)</f>
        <v>350.73</v>
      </c>
      <c r="C26" s="3">
        <v>346.921953412035</v>
      </c>
    </row>
    <row r="27">
      <c r="A27" s="4">
        <f>IFERROR(__xludf.DUMMYFUNCTION("""COMPUTED_VALUE"""),45699.66666666667)</f>
        <v>45699.66667</v>
      </c>
      <c r="B27" s="2">
        <f>IFERROR(__xludf.DUMMYFUNCTION("""COMPUTED_VALUE"""),328.5)</f>
        <v>328.5</v>
      </c>
      <c r="C27" s="3">
        <v>344.12300027227</v>
      </c>
    </row>
    <row r="28">
      <c r="A28" s="4">
        <f>IFERROR(__xludf.DUMMYFUNCTION("""COMPUTED_VALUE"""),45700.66666666667)</f>
        <v>45700.66667</v>
      </c>
      <c r="B28" s="2">
        <f>IFERROR(__xludf.DUMMYFUNCTION("""COMPUTED_VALUE"""),336.51)</f>
        <v>336.51</v>
      </c>
      <c r="C28" s="3">
        <v>344.715640106603</v>
      </c>
    </row>
    <row r="29">
      <c r="A29" s="4">
        <f>IFERROR(__xludf.DUMMYFUNCTION("""COMPUTED_VALUE"""),45701.66666666667)</f>
        <v>45701.66667</v>
      </c>
      <c r="B29" s="2">
        <f>IFERROR(__xludf.DUMMYFUNCTION("""COMPUTED_VALUE"""),355.94)</f>
        <v>355.94</v>
      </c>
      <c r="C29" s="3">
        <v>338.964234143277</v>
      </c>
    </row>
    <row r="30">
      <c r="A30" s="4">
        <f>IFERROR(__xludf.DUMMYFUNCTION("""COMPUTED_VALUE"""),45702.66666666667)</f>
        <v>45702.66667</v>
      </c>
      <c r="B30" s="2">
        <f>IFERROR(__xludf.DUMMYFUNCTION("""COMPUTED_VALUE"""),355.84)</f>
        <v>355.84</v>
      </c>
      <c r="C30" s="3">
        <v>338.097309537797</v>
      </c>
    </row>
    <row r="31">
      <c r="A31" s="4">
        <f>IFERROR(__xludf.DUMMYFUNCTION("""COMPUTED_VALUE"""),45706.66666666667)</f>
        <v>45706.66667</v>
      </c>
      <c r="B31" s="2">
        <f>IFERROR(__xludf.DUMMYFUNCTION("""COMPUTED_VALUE"""),354.11)</f>
        <v>354.11</v>
      </c>
      <c r="C31" s="3">
        <v>329.521549507939</v>
      </c>
    </row>
    <row r="32">
      <c r="A32" s="4">
        <f>IFERROR(__xludf.DUMMYFUNCTION("""COMPUTED_VALUE"""),45707.66666666667)</f>
        <v>45707.66667</v>
      </c>
      <c r="B32" s="2">
        <f>IFERROR(__xludf.DUMMYFUNCTION("""COMPUTED_VALUE"""),360.56)</f>
        <v>360.56</v>
      </c>
      <c r="C32" s="3">
        <v>330.114189342266</v>
      </c>
    </row>
    <row r="33">
      <c r="A33" s="4">
        <f>IFERROR(__xludf.DUMMYFUNCTION("""COMPUTED_VALUE"""),45708.66666666667)</f>
        <v>45708.66667</v>
      </c>
      <c r="B33" s="2">
        <f>IFERROR(__xludf.DUMMYFUNCTION("""COMPUTED_VALUE"""),354.4)</f>
        <v>354.4</v>
      </c>
      <c r="C33" s="3">
        <v>324.36278337895</v>
      </c>
    </row>
    <row r="34">
      <c r="A34" s="4">
        <f>IFERROR(__xludf.DUMMYFUNCTION("""COMPUTED_VALUE"""),45709.66666666667)</f>
        <v>45709.66667</v>
      </c>
      <c r="B34" s="2">
        <f>IFERROR(__xludf.DUMMYFUNCTION("""COMPUTED_VALUE"""),337.8)</f>
        <v>337.8</v>
      </c>
      <c r="C34" s="3">
        <v>323.495858773465</v>
      </c>
    </row>
    <row r="35">
      <c r="A35" s="4">
        <f>IFERROR(__xludf.DUMMYFUNCTION("""COMPUTED_VALUE"""),45712.66666666667)</f>
        <v>45712.66667</v>
      </c>
      <c r="B35" s="2">
        <f>IFERROR(__xludf.DUMMYFUNCTION("""COMPUTED_VALUE"""),330.53)</f>
        <v>330.53</v>
      </c>
      <c r="C35" s="3">
        <v>317.719065289976</v>
      </c>
    </row>
    <row r="36">
      <c r="A36" s="4">
        <f>IFERROR(__xludf.DUMMYFUNCTION("""COMPUTED_VALUE"""),45713.66666666667)</f>
        <v>45713.66667</v>
      </c>
      <c r="B36" s="2">
        <f>IFERROR(__xludf.DUMMYFUNCTION("""COMPUTED_VALUE"""),302.8)</f>
        <v>302.8</v>
      </c>
      <c r="C36" s="3">
        <v>314.92011661908</v>
      </c>
    </row>
    <row r="37">
      <c r="A37" s="4">
        <f>IFERROR(__xludf.DUMMYFUNCTION("""COMPUTED_VALUE"""),45714.66666666667)</f>
        <v>45714.66667</v>
      </c>
      <c r="B37" s="2">
        <f>IFERROR(__xludf.DUMMYFUNCTION("""COMPUTED_VALUE"""),290.8)</f>
        <v>290.8</v>
      </c>
      <c r="C37" s="3">
        <v>315.512760922279</v>
      </c>
    </row>
    <row r="38">
      <c r="A38" s="4">
        <f>IFERROR(__xludf.DUMMYFUNCTION("""COMPUTED_VALUE"""),45715.66666666667)</f>
        <v>45715.66667</v>
      </c>
      <c r="B38" s="2">
        <f>IFERROR(__xludf.DUMMYFUNCTION("""COMPUTED_VALUE"""),281.95)</f>
        <v>281.95</v>
      </c>
      <c r="C38" s="3">
        <v>309.761359427825</v>
      </c>
    </row>
    <row r="39">
      <c r="A39" s="4">
        <f>IFERROR(__xludf.DUMMYFUNCTION("""COMPUTED_VALUE"""),45716.66666666667)</f>
        <v>45716.66667</v>
      </c>
      <c r="B39" s="2">
        <f>IFERROR(__xludf.DUMMYFUNCTION("""COMPUTED_VALUE"""),292.98)</f>
        <v>292.98</v>
      </c>
      <c r="C39" s="3">
        <v>308.894439291211</v>
      </c>
    </row>
    <row r="40">
      <c r="A40" s="4">
        <f>IFERROR(__xludf.DUMMYFUNCTION("""COMPUTED_VALUE"""),45719.66666666667)</f>
        <v>45719.66667</v>
      </c>
      <c r="B40" s="2">
        <f>IFERROR(__xludf.DUMMYFUNCTION("""COMPUTED_VALUE"""),284.65)</f>
        <v>284.65</v>
      </c>
      <c r="C40" s="3">
        <v>303.117645807722</v>
      </c>
    </row>
    <row r="41">
      <c r="A41" s="4">
        <f>IFERROR(__xludf.DUMMYFUNCTION("""COMPUTED_VALUE"""),45720.66666666667)</f>
        <v>45720.66667</v>
      </c>
      <c r="B41" s="2">
        <f>IFERROR(__xludf.DUMMYFUNCTION("""COMPUTED_VALUE"""),272.04)</f>
        <v>272.04</v>
      </c>
      <c r="C41" s="3">
        <v>300.318697136836</v>
      </c>
    </row>
    <row r="42">
      <c r="A42" s="4">
        <f>IFERROR(__xludf.DUMMYFUNCTION("""COMPUTED_VALUE"""),45721.66666666667)</f>
        <v>45721.66667</v>
      </c>
      <c r="B42" s="2">
        <f>IFERROR(__xludf.DUMMYFUNCTION("""COMPUTED_VALUE"""),279.1)</f>
        <v>279.1</v>
      </c>
      <c r="C42" s="3">
        <v>300.911341440033</v>
      </c>
    </row>
    <row r="43">
      <c r="A43" s="4">
        <f>IFERROR(__xludf.DUMMYFUNCTION("""COMPUTED_VALUE"""),45722.66666666667)</f>
        <v>45722.66667</v>
      </c>
      <c r="B43" s="2">
        <f>IFERROR(__xludf.DUMMYFUNCTION("""COMPUTED_VALUE"""),263.45)</f>
        <v>263.45</v>
      </c>
      <c r="C43" s="3">
        <v>295.43551167369</v>
      </c>
    </row>
    <row r="44">
      <c r="A44" s="4">
        <f>IFERROR(__xludf.DUMMYFUNCTION("""COMPUTED_VALUE"""),45723.66666666667)</f>
        <v>45723.66667</v>
      </c>
      <c r="B44" s="2">
        <f>IFERROR(__xludf.DUMMYFUNCTION("""COMPUTED_VALUE"""),262.67)</f>
        <v>262.67</v>
      </c>
      <c r="C44" s="3">
        <v>294.844163265188</v>
      </c>
    </row>
    <row r="45">
      <c r="A45" s="4">
        <f>IFERROR(__xludf.DUMMYFUNCTION("""COMPUTED_VALUE"""),45726.66666666667)</f>
        <v>45726.66667</v>
      </c>
      <c r="B45" s="2">
        <f>IFERROR(__xludf.DUMMYFUNCTION("""COMPUTED_VALUE"""),222.15)</f>
        <v>222.15</v>
      </c>
      <c r="C45" s="3">
        <v>289.894084966013</v>
      </c>
    </row>
    <row r="46">
      <c r="A46" s="4">
        <f>IFERROR(__xludf.DUMMYFUNCTION("""COMPUTED_VALUE"""),45727.66666666667)</f>
        <v>45727.66667</v>
      </c>
      <c r="B46" s="2">
        <f>IFERROR(__xludf.DUMMYFUNCTION("""COMPUTED_VALUE"""),230.58)</f>
        <v>230.58</v>
      </c>
      <c r="C46" s="3">
        <v>287.370708023237</v>
      </c>
    </row>
    <row r="47">
      <c r="A47" s="4">
        <f>IFERROR(__xludf.DUMMYFUNCTION("""COMPUTED_VALUE"""),45728.66666666667)</f>
        <v>45728.66667</v>
      </c>
      <c r="B47" s="2">
        <f>IFERROR(__xludf.DUMMYFUNCTION("""COMPUTED_VALUE"""),248.09)</f>
        <v>248.09</v>
      </c>
      <c r="C47" s="3">
        <v>288.238924054544</v>
      </c>
    </row>
    <row r="48">
      <c r="A48" s="4">
        <f>IFERROR(__xludf.DUMMYFUNCTION("""COMPUTED_VALUE"""),45729.66666666667)</f>
        <v>45729.66667</v>
      </c>
      <c r="B48" s="2">
        <f>IFERROR(__xludf.DUMMYFUNCTION("""COMPUTED_VALUE"""),240.68)</f>
        <v>240.68</v>
      </c>
      <c r="C48" s="3">
        <v>282.763094288197</v>
      </c>
    </row>
    <row r="49">
      <c r="A49" s="4">
        <f>IFERROR(__xludf.DUMMYFUNCTION("""COMPUTED_VALUE"""),45730.66666666667)</f>
        <v>45730.66667</v>
      </c>
      <c r="B49" s="2">
        <f>IFERROR(__xludf.DUMMYFUNCTION("""COMPUTED_VALUE"""),249.98)</f>
        <v>249.98</v>
      </c>
      <c r="C49" s="3">
        <v>282.171745879692</v>
      </c>
    </row>
    <row r="50">
      <c r="A50" s="4">
        <f>IFERROR(__xludf.DUMMYFUNCTION("""COMPUTED_VALUE"""),45733.66666666667)</f>
        <v>45733.66667</v>
      </c>
      <c r="B50" s="2">
        <f>IFERROR(__xludf.DUMMYFUNCTION("""COMPUTED_VALUE"""),238.01)</f>
        <v>238.01</v>
      </c>
      <c r="C50" s="3">
        <v>277.221667580547</v>
      </c>
    </row>
    <row r="51">
      <c r="A51" s="4">
        <f>IFERROR(__xludf.DUMMYFUNCTION("""COMPUTED_VALUE"""),45734.66666666667)</f>
        <v>45734.66667</v>
      </c>
      <c r="B51" s="2">
        <f>IFERROR(__xludf.DUMMYFUNCTION("""COMPUTED_VALUE"""),225.31)</f>
        <v>225.31</v>
      </c>
      <c r="C51" s="3">
        <v>275.567216951779</v>
      </c>
    </row>
    <row r="52">
      <c r="A52" s="4">
        <f>IFERROR(__xludf.DUMMYFUNCTION("""COMPUTED_VALUE"""),45735.66666666667)</f>
        <v>45735.66667</v>
      </c>
      <c r="B52" s="2">
        <f>IFERROR(__xludf.DUMMYFUNCTION("""COMPUTED_VALUE"""),235.86)</f>
        <v>235.86</v>
      </c>
      <c r="C52" s="3">
        <v>277.304359297105</v>
      </c>
    </row>
    <row r="53">
      <c r="A53" s="4">
        <f>IFERROR(__xludf.DUMMYFUNCTION("""COMPUTED_VALUE"""),45736.66666666667)</f>
        <v>45736.66667</v>
      </c>
      <c r="B53" s="2">
        <f>IFERROR(__xludf.DUMMYFUNCTION("""COMPUTED_VALUE"""),236.26)</f>
        <v>236.26</v>
      </c>
      <c r="C53" s="3">
        <v>272.697455844789</v>
      </c>
    </row>
    <row r="54">
      <c r="A54" s="4">
        <f>IFERROR(__xludf.DUMMYFUNCTION("""COMPUTED_VALUE"""),45737.66666666667)</f>
        <v>45737.66667</v>
      </c>
      <c r="B54" s="2">
        <f>IFERROR(__xludf.DUMMYFUNCTION("""COMPUTED_VALUE"""),248.71)</f>
        <v>248.71</v>
      </c>
      <c r="C54" s="3">
        <v>272.975033750308</v>
      </c>
    </row>
    <row r="55">
      <c r="A55" s="4">
        <f>IFERROR(__xludf.DUMMYFUNCTION("""COMPUTED_VALUE"""),45740.66666666667)</f>
        <v>45740.66667</v>
      </c>
      <c r="B55" s="2">
        <f>IFERROR(__xludf.DUMMYFUNCTION("""COMPUTED_VALUE"""),278.39)</f>
        <v>278.39</v>
      </c>
      <c r="C55" s="3">
        <v>270.631734393226</v>
      </c>
    </row>
    <row r="56">
      <c r="A56" s="4">
        <f>IFERROR(__xludf.DUMMYFUNCTION("""COMPUTED_VALUE"""),45741.66666666667)</f>
        <v>45741.66667</v>
      </c>
      <c r="B56" s="2">
        <f>IFERROR(__xludf.DUMMYFUNCTION("""COMPUTED_VALUE"""),288.14)</f>
        <v>288.14</v>
      </c>
      <c r="C56" s="3">
        <v>268.97728376446</v>
      </c>
    </row>
    <row r="57">
      <c r="A57" s="4">
        <f>IFERROR(__xludf.DUMMYFUNCTION("""COMPUTED_VALUE"""),45742.66666666667)</f>
        <v>45742.66667</v>
      </c>
      <c r="B57" s="2">
        <f>IFERROR(__xludf.DUMMYFUNCTION("""COMPUTED_VALUE"""),272.06)</f>
        <v>272.06</v>
      </c>
      <c r="C57" s="3">
        <v>270.714426109791</v>
      </c>
    </row>
    <row r="58">
      <c r="A58" s="4">
        <f>IFERROR(__xludf.DUMMYFUNCTION("""COMPUTED_VALUE"""),45743.66666666667)</f>
        <v>45743.66667</v>
      </c>
      <c r="B58" s="2">
        <f>IFERROR(__xludf.DUMMYFUNCTION("""COMPUTED_VALUE"""),273.13)</f>
        <v>273.13</v>
      </c>
      <c r="C58" s="3">
        <v>266.107522657475</v>
      </c>
    </row>
    <row r="59">
      <c r="A59" s="4">
        <f>IFERROR(__xludf.DUMMYFUNCTION("""COMPUTED_VALUE"""),45744.66666666667)</f>
        <v>45744.66667</v>
      </c>
      <c r="B59" s="2">
        <f>IFERROR(__xludf.DUMMYFUNCTION("""COMPUTED_VALUE"""),263.55)</f>
        <v>263.55</v>
      </c>
      <c r="C59" s="3">
        <v>267.280733196875</v>
      </c>
    </row>
    <row r="60">
      <c r="A60" s="4">
        <f>IFERROR(__xludf.DUMMYFUNCTION("""COMPUTED_VALUE"""),45747.66666666667)</f>
        <v>45747.66667</v>
      </c>
      <c r="B60" s="2">
        <f>IFERROR(__xludf.DUMMYFUNCTION("""COMPUTED_VALUE"""),259.16)</f>
        <v>259.16</v>
      </c>
      <c r="C60" s="3">
        <v>267.624331741505</v>
      </c>
    </row>
    <row r="61">
      <c r="A61" s="4">
        <f>IFERROR(__xludf.DUMMYFUNCTION("""COMPUTED_VALUE"""),45748.66666666667)</f>
        <v>45748.66667</v>
      </c>
      <c r="B61" s="2">
        <f>IFERROR(__xludf.DUMMYFUNCTION("""COMPUTED_VALUE"""),268.46)</f>
        <v>268.46</v>
      </c>
      <c r="C61" s="3">
        <v>266.86551374667</v>
      </c>
    </row>
    <row r="62">
      <c r="A62" s="4">
        <f>IFERROR(__xludf.DUMMYFUNCTION("""COMPUTED_VALUE"""),45749.66666666667)</f>
        <v>45749.66667</v>
      </c>
      <c r="B62" s="2">
        <f>IFERROR(__xludf.DUMMYFUNCTION("""COMPUTED_VALUE"""),282.76)</f>
        <v>282.76</v>
      </c>
      <c r="C62" s="3">
        <v>269.498288725899</v>
      </c>
    </row>
    <row r="63">
      <c r="A63" s="4">
        <f>IFERROR(__xludf.DUMMYFUNCTION("""COMPUTED_VALUE"""),45750.66666666667)</f>
        <v>45750.66667</v>
      </c>
      <c r="B63" s="2">
        <f>IFERROR(__xludf.DUMMYFUNCTION("""COMPUTED_VALUE"""),267.28)</f>
        <v>267.28</v>
      </c>
      <c r="C63" s="3">
        <v>265.78701790749</v>
      </c>
    </row>
    <row r="64">
      <c r="A64" s="4">
        <f>IFERROR(__xludf.DUMMYFUNCTION("""COMPUTED_VALUE"""),45751.66666666667)</f>
        <v>45751.66667</v>
      </c>
      <c r="B64" s="2">
        <f>IFERROR(__xludf.DUMMYFUNCTION("""COMPUTED_VALUE"""),239.43)</f>
        <v>239.43</v>
      </c>
      <c r="C64" s="3">
        <v>266.960228446893</v>
      </c>
    </row>
    <row r="65">
      <c r="A65" s="4">
        <f>IFERROR(__xludf.DUMMYFUNCTION("""COMPUTED_VALUE"""),45754.66666666667)</f>
        <v>45754.66667</v>
      </c>
      <c r="B65" s="2">
        <f>IFERROR(__xludf.DUMMYFUNCTION("""COMPUTED_VALUE"""),233.29)</f>
        <v>233.29</v>
      </c>
      <c r="C65" s="3">
        <v>267.303826991526</v>
      </c>
    </row>
    <row r="66">
      <c r="A66" s="4">
        <f>IFERROR(__xludf.DUMMYFUNCTION("""COMPUTED_VALUE"""),45755.66666666667)</f>
        <v>45755.66667</v>
      </c>
      <c r="B66" s="2">
        <f>IFERROR(__xludf.DUMMYFUNCTION("""COMPUTED_VALUE"""),221.86)</f>
        <v>221.86</v>
      </c>
      <c r="C66" s="3">
        <v>266.545008996672</v>
      </c>
    </row>
    <row r="67">
      <c r="A67" s="4">
        <f>IFERROR(__xludf.DUMMYFUNCTION("""COMPUTED_VALUE"""),45756.66666666667)</f>
        <v>45756.66667</v>
      </c>
      <c r="B67" s="2">
        <f>IFERROR(__xludf.DUMMYFUNCTION("""COMPUTED_VALUE"""),272.2)</f>
        <v>272.2</v>
      </c>
      <c r="C67" s="3">
        <v>269.87457679215</v>
      </c>
    </row>
    <row r="68">
      <c r="A68" s="4">
        <f>IFERROR(__xludf.DUMMYFUNCTION("""COMPUTED_VALUE"""),45757.66666666667)</f>
        <v>45757.66667</v>
      </c>
      <c r="B68" s="2">
        <f>IFERROR(__xludf.DUMMYFUNCTION("""COMPUTED_VALUE"""),252.4)</f>
        <v>252.4</v>
      </c>
      <c r="C68" s="3">
        <v>266.860098789975</v>
      </c>
    </row>
    <row r="69">
      <c r="A69" s="4">
        <f>IFERROR(__xludf.DUMMYFUNCTION("""COMPUTED_VALUE"""),45758.66666666667)</f>
        <v>45758.66667</v>
      </c>
      <c r="B69" s="2">
        <f>IFERROR(__xludf.DUMMYFUNCTION("""COMPUTED_VALUE"""),252.31)</f>
        <v>252.31</v>
      </c>
      <c r="C69" s="3">
        <v>268.73010214564</v>
      </c>
    </row>
    <row r="70">
      <c r="A70" s="4">
        <f>IFERROR(__xludf.DUMMYFUNCTION("""COMPUTED_VALUE"""),45761.66666666667)</f>
        <v>45761.66667</v>
      </c>
      <c r="B70" s="2">
        <f>IFERROR(__xludf.DUMMYFUNCTION("""COMPUTED_VALUE"""),252.35)</f>
        <v>252.35</v>
      </c>
      <c r="C70" s="3">
        <v>271.164079138979</v>
      </c>
    </row>
    <row r="71">
      <c r="A71" s="4">
        <f>IFERROR(__xludf.DUMMYFUNCTION("""COMPUTED_VALUE"""),45762.66666666667)</f>
        <v>45762.66667</v>
      </c>
      <c r="B71" s="2">
        <f>IFERROR(__xludf.DUMMYFUNCTION("""COMPUTED_VALUE"""),254.11)</f>
        <v>254.11</v>
      </c>
      <c r="C71" s="3">
        <v>271.10205396036</v>
      </c>
    </row>
    <row r="72">
      <c r="A72" s="4">
        <f>IFERROR(__xludf.DUMMYFUNCTION("""COMPUTED_VALUE"""),45763.66666666667)</f>
        <v>45763.66667</v>
      </c>
      <c r="B72" s="2">
        <f>IFERROR(__xludf.DUMMYFUNCTION("""COMPUTED_VALUE"""),241.55)</f>
        <v>241.55</v>
      </c>
      <c r="C72" s="3">
        <v>274.431621755835</v>
      </c>
    </row>
    <row r="73">
      <c r="A73" s="4">
        <f>IFERROR(__xludf.DUMMYFUNCTION("""COMPUTED_VALUE"""),45764.66666666667)</f>
        <v>45764.66667</v>
      </c>
      <c r="B73" s="2">
        <f>IFERROR(__xludf.DUMMYFUNCTION("""COMPUTED_VALUE"""),241.37)</f>
        <v>241.37</v>
      </c>
      <c r="C73" s="3">
        <v>271.417143753653</v>
      </c>
    </row>
    <row r="74">
      <c r="A74" s="4">
        <f>IFERROR(__xludf.DUMMYFUNCTION("""COMPUTED_VALUE"""),45768.66666666667)</f>
        <v>45768.66667</v>
      </c>
      <c r="B74" s="2">
        <f>IFERROR(__xludf.DUMMYFUNCTION("""COMPUTED_VALUE"""),227.5)</f>
        <v>227.5</v>
      </c>
      <c r="C74" s="3">
        <v>275.721124102656</v>
      </c>
    </row>
    <row r="75">
      <c r="A75" s="4">
        <f>IFERROR(__xludf.DUMMYFUNCTION("""COMPUTED_VALUE"""),45769.66666666667)</f>
        <v>45769.66667</v>
      </c>
      <c r="B75" s="2">
        <f>IFERROR(__xludf.DUMMYFUNCTION("""COMPUTED_VALUE"""),237.97)</f>
        <v>237.97</v>
      </c>
      <c r="C75" s="3">
        <v>275.659099067053</v>
      </c>
    </row>
    <row r="76">
      <c r="A76" s="4">
        <f>IFERROR(__xludf.DUMMYFUNCTION("""COMPUTED_VALUE"""),45770.66666666667)</f>
        <v>45770.66667</v>
      </c>
      <c r="B76" s="2">
        <f>IFERROR(__xludf.DUMMYFUNCTION("""COMPUTED_VALUE"""),250.74)</f>
        <v>250.74</v>
      </c>
      <c r="C76" s="3">
        <v>278.988667005533</v>
      </c>
    </row>
    <row r="77">
      <c r="A77" s="4">
        <f>IFERROR(__xludf.DUMMYFUNCTION("""COMPUTED_VALUE"""),45771.66666666667)</f>
        <v>45771.66667</v>
      </c>
      <c r="B77" s="2">
        <f>IFERROR(__xludf.DUMMYFUNCTION("""COMPUTED_VALUE"""),259.51)</f>
        <v>259.51</v>
      </c>
      <c r="C77" s="3">
        <v>275.974189146362</v>
      </c>
    </row>
    <row r="78">
      <c r="A78" s="4">
        <f>IFERROR(__xludf.DUMMYFUNCTION("""COMPUTED_VALUE"""),45772.66666666667)</f>
        <v>45772.66667</v>
      </c>
      <c r="B78" s="2">
        <f>IFERROR(__xludf.DUMMYFUNCTION("""COMPUTED_VALUE"""),284.95)</f>
        <v>284.95</v>
      </c>
      <c r="C78" s="3">
        <v>277.844192645022</v>
      </c>
    </row>
    <row r="79">
      <c r="A79" s="4">
        <f>IFERROR(__xludf.DUMMYFUNCTION("""COMPUTED_VALUE"""),45775.66666666667)</f>
        <v>45775.66667</v>
      </c>
      <c r="B79" s="2">
        <f>IFERROR(__xludf.DUMMYFUNCTION("""COMPUTED_VALUE"""),285.88)</f>
        <v>285.88</v>
      </c>
      <c r="C79" s="3">
        <v>280.278170067391</v>
      </c>
    </row>
    <row r="80">
      <c r="A80" s="4">
        <f>IFERROR(__xludf.DUMMYFUNCTION("""COMPUTED_VALUE"""),45776.66666666667)</f>
        <v>45776.66667</v>
      </c>
      <c r="B80" s="2">
        <f>IFERROR(__xludf.DUMMYFUNCTION("""COMPUTED_VALUE"""),292.03)</f>
        <v>292.03</v>
      </c>
      <c r="C80" s="3">
        <v>280.21614503179</v>
      </c>
    </row>
    <row r="81">
      <c r="A81" s="4">
        <f>IFERROR(__xludf.DUMMYFUNCTION("""COMPUTED_VALUE"""),45777.66666666667)</f>
        <v>45777.66667</v>
      </c>
      <c r="B81" s="2">
        <f>IFERROR(__xludf.DUMMYFUNCTION("""COMPUTED_VALUE"""),282.16)</f>
        <v>282.16</v>
      </c>
      <c r="C81" s="3">
        <v>283.545712970273</v>
      </c>
    </row>
    <row r="82">
      <c r="A82" s="4">
        <f>IFERROR(__xludf.DUMMYFUNCTION("""COMPUTED_VALUE"""),45778.66666666667)</f>
        <v>45778.66667</v>
      </c>
      <c r="B82" s="2">
        <f>IFERROR(__xludf.DUMMYFUNCTION("""COMPUTED_VALUE"""),280.52)</f>
        <v>280.52</v>
      </c>
      <c r="C82" s="3">
        <v>280.531235111105</v>
      </c>
    </row>
    <row r="83">
      <c r="A83" s="4">
        <f>IFERROR(__xludf.DUMMYFUNCTION("""COMPUTED_VALUE"""),45779.66666666667)</f>
        <v>45779.66667</v>
      </c>
      <c r="B83" s="2">
        <f>IFERROR(__xludf.DUMMYFUNCTION("""COMPUTED_VALUE"""),287.21)</f>
        <v>287.21</v>
      </c>
      <c r="C83" s="3">
        <v>282.401238610821</v>
      </c>
    </row>
    <row r="84">
      <c r="A84" s="4">
        <f>IFERROR(__xludf.DUMMYFUNCTION("""COMPUTED_VALUE"""),45782.66666666667)</f>
        <v>45782.66667</v>
      </c>
      <c r="B84" s="2">
        <f>IFERROR(__xludf.DUMMYFUNCTION("""COMPUTED_VALUE"""),280.26)</f>
        <v>280.26</v>
      </c>
      <c r="C84" s="3">
        <v>284.835216036355</v>
      </c>
    </row>
    <row r="85">
      <c r="A85" s="4">
        <f>IFERROR(__xludf.DUMMYFUNCTION("""COMPUTED_VALUE"""),45783.66666666667)</f>
        <v>45783.66667</v>
      </c>
      <c r="B85" s="2">
        <f>IFERROR(__xludf.DUMMYFUNCTION("""COMPUTED_VALUE"""),275.35)</f>
        <v>275.35</v>
      </c>
      <c r="C85" s="3">
        <v>284.773191001797</v>
      </c>
    </row>
    <row r="86">
      <c r="A86" s="4">
        <f>IFERROR(__xludf.DUMMYFUNCTION("""COMPUTED_VALUE"""),45784.66666666667)</f>
        <v>45784.66667</v>
      </c>
      <c r="B86" s="2">
        <f>IFERROR(__xludf.DUMMYFUNCTION("""COMPUTED_VALUE"""),276.22)</f>
        <v>276.22</v>
      </c>
      <c r="C86" s="3">
        <v>288.102758941336</v>
      </c>
    </row>
    <row r="87">
      <c r="A87" s="4">
        <f>IFERROR(__xludf.DUMMYFUNCTION("""COMPUTED_VALUE"""),45785.66666666667)</f>
        <v>45785.66667</v>
      </c>
      <c r="B87" s="2">
        <f>IFERROR(__xludf.DUMMYFUNCTION("""COMPUTED_VALUE"""),284.82)</f>
        <v>284.82</v>
      </c>
      <c r="C87" s="3">
        <v>285.08828108322</v>
      </c>
    </row>
    <row r="88">
      <c r="A88" s="4">
        <f>IFERROR(__xludf.DUMMYFUNCTION("""COMPUTED_VALUE"""),45786.66666666667)</f>
        <v>45786.66667</v>
      </c>
      <c r="B88" s="2">
        <f>IFERROR(__xludf.DUMMYFUNCTION("""COMPUTED_VALUE"""),298.26)</f>
        <v>298.26</v>
      </c>
      <c r="C88" s="3">
        <v>286.958284582944</v>
      </c>
    </row>
    <row r="89">
      <c r="A89" s="4">
        <f>IFERROR(__xludf.DUMMYFUNCTION("""COMPUTED_VALUE"""),45789.66666666667)</f>
        <v>45789.66667</v>
      </c>
      <c r="B89" s="2">
        <f>IFERROR(__xludf.DUMMYFUNCTION("""COMPUTED_VALUE"""),318.38)</f>
        <v>318.38</v>
      </c>
      <c r="C89" s="3">
        <v>289.392262008481</v>
      </c>
    </row>
    <row r="90">
      <c r="A90" s="4">
        <f>IFERROR(__xludf.DUMMYFUNCTION("""COMPUTED_VALUE"""),45790.66666666667)</f>
        <v>45790.66667</v>
      </c>
      <c r="B90" s="2">
        <f>IFERROR(__xludf.DUMMYFUNCTION("""COMPUTED_VALUE"""),334.07)</f>
        <v>334.07</v>
      </c>
      <c r="C90" s="3">
        <v>289.330236973919</v>
      </c>
    </row>
    <row r="91">
      <c r="A91" s="4">
        <f>IFERROR(__xludf.DUMMYFUNCTION("""COMPUTED_VALUE"""),45791.66666666667)</f>
        <v>45791.66667</v>
      </c>
      <c r="B91" s="2">
        <f>IFERROR(__xludf.DUMMYFUNCTION("""COMPUTED_VALUE"""),347.68)</f>
        <v>347.68</v>
      </c>
      <c r="C91" s="3">
        <v>292.659804891298</v>
      </c>
    </row>
    <row r="92">
      <c r="A92" s="4">
        <f>IFERROR(__xludf.DUMMYFUNCTION("""COMPUTED_VALUE"""),45792.66666666667)</f>
        <v>45792.66667</v>
      </c>
      <c r="B92" s="2">
        <f>IFERROR(__xludf.DUMMYFUNCTION("""COMPUTED_VALUE"""),342.82)</f>
        <v>342.82</v>
      </c>
      <c r="C92" s="3">
        <v>289.645327011024</v>
      </c>
    </row>
    <row r="93">
      <c r="A93" s="4">
        <f>IFERROR(__xludf.DUMMYFUNCTION("""COMPUTED_VALUE"""),45793.66666666667)</f>
        <v>45793.66667</v>
      </c>
      <c r="B93" s="2">
        <f>IFERROR(__xludf.DUMMYFUNCTION("""COMPUTED_VALUE"""),349.98)</f>
        <v>349.98</v>
      </c>
      <c r="C93" s="3">
        <v>291.51533048859</v>
      </c>
    </row>
    <row r="94">
      <c r="A94" s="4">
        <f>IFERROR(__xludf.DUMMYFUNCTION("""COMPUTED_VALUE"""),45796.66666666667)</f>
        <v>45796.66667</v>
      </c>
      <c r="B94" s="2">
        <f>IFERROR(__xludf.DUMMYFUNCTION("""COMPUTED_VALUE"""),342.09)</f>
        <v>342.09</v>
      </c>
      <c r="C94" s="3">
        <v>293.94930784765</v>
      </c>
    </row>
    <row r="95">
      <c r="A95" s="4">
        <f>IFERROR(__xludf.DUMMYFUNCTION("""COMPUTED_VALUE"""),45797.66666666667)</f>
        <v>45797.66667</v>
      </c>
      <c r="B95" s="2">
        <f>IFERROR(__xludf.DUMMYFUNCTION("""COMPUTED_VALUE"""),343.82)</f>
        <v>343.82</v>
      </c>
      <c r="C95" s="3">
        <v>293.88728279095</v>
      </c>
    </row>
    <row r="96">
      <c r="A96" s="4">
        <f>IFERROR(__xludf.DUMMYFUNCTION("""COMPUTED_VALUE"""),45798.66666666667)</f>
        <v>45798.66667</v>
      </c>
      <c r="B96" s="2">
        <f>IFERROR(__xludf.DUMMYFUNCTION("""COMPUTED_VALUE"""),334.62)</f>
        <v>334.62</v>
      </c>
      <c r="C96" s="3">
        <v>297.216850708333</v>
      </c>
    </row>
    <row r="97">
      <c r="A97" s="4">
        <f>IFERROR(__xludf.DUMMYFUNCTION("""COMPUTED_VALUE"""),45799.66666666667)</f>
        <v>45799.66667</v>
      </c>
      <c r="B97" s="2">
        <f>IFERROR(__xludf.DUMMYFUNCTION("""COMPUTED_VALUE"""),334.62)</f>
        <v>334.62</v>
      </c>
      <c r="C97" s="3">
        <v>294.202372828069</v>
      </c>
    </row>
    <row r="98">
      <c r="A98" s="4">
        <f>IFERROR(__xludf.DUMMYFUNCTION("""COMPUTED_VALUE"""),45800.66666666667)</f>
        <v>45800.66667</v>
      </c>
      <c r="B98" s="2">
        <f>IFERROR(__xludf.DUMMYFUNCTION("""COMPUTED_VALUE"""),339.34)</f>
        <v>339.34</v>
      </c>
      <c r="C98" s="3">
        <v>296.072376305618</v>
      </c>
    </row>
    <row r="99">
      <c r="A99" s="4">
        <f>IFERROR(__xludf.DUMMYFUNCTION("""COMPUTED_VALUE"""),45804.66666666667)</f>
        <v>45804.66667</v>
      </c>
      <c r="B99" s="2">
        <f>IFERROR(__xludf.DUMMYFUNCTION("""COMPUTED_VALUE"""),362.89)</f>
        <v>362.89</v>
      </c>
      <c r="C99" s="3">
        <v>298.444271275654</v>
      </c>
    </row>
    <row r="100">
      <c r="A100" s="4">
        <f>IFERROR(__xludf.DUMMYFUNCTION("""COMPUTED_VALUE"""),45805.66666666667)</f>
        <v>45805.66667</v>
      </c>
      <c r="B100" s="2">
        <f>IFERROR(__xludf.DUMMYFUNCTION("""COMPUTED_VALUE"""),356.9)</f>
        <v>356.9</v>
      </c>
      <c r="C100" s="3">
        <v>301.773824859948</v>
      </c>
    </row>
    <row r="101">
      <c r="A101" s="4">
        <f>IFERROR(__xludf.DUMMYFUNCTION("""COMPUTED_VALUE"""),45806.66666666667)</f>
        <v>45806.66667</v>
      </c>
      <c r="B101" s="2">
        <f>IFERROR(__xludf.DUMMYFUNCTION("""COMPUTED_VALUE"""),358.43)</f>
        <v>358.43</v>
      </c>
      <c r="C101" s="3">
        <v>298.759332646595</v>
      </c>
    </row>
    <row r="102">
      <c r="A102" s="4">
        <f>IFERROR(__xludf.DUMMYFUNCTION("""COMPUTED_VALUE"""),45807.66666666667)</f>
        <v>45807.66667</v>
      </c>
      <c r="B102" s="2">
        <f>IFERROR(__xludf.DUMMYFUNCTION("""COMPUTED_VALUE"""),346.46)</f>
        <v>346.46</v>
      </c>
      <c r="C102" s="3">
        <v>300.62932179107</v>
      </c>
    </row>
    <row r="103">
      <c r="A103" s="4">
        <f>IFERROR(__xludf.DUMMYFUNCTION("""COMPUTED_VALUE"""),45810.66666666667)</f>
        <v>45810.66667</v>
      </c>
      <c r="B103" s="2">
        <f>IFERROR(__xludf.DUMMYFUNCTION("""COMPUTED_VALUE"""),342.69)</f>
        <v>342.69</v>
      </c>
      <c r="C103" s="3">
        <v>303.063256150897</v>
      </c>
    </row>
    <row r="104">
      <c r="A104" s="4">
        <f>IFERROR(__xludf.DUMMYFUNCTION("""COMPUTED_VALUE"""),45811.66666666667)</f>
        <v>45811.66667</v>
      </c>
      <c r="B104" s="2">
        <f>IFERROR(__xludf.DUMMYFUNCTION("""COMPUTED_VALUE"""),344.27)</f>
        <v>344.27</v>
      </c>
      <c r="C104" s="3">
        <v>303.001216761091</v>
      </c>
    </row>
    <row r="105">
      <c r="A105" s="4">
        <f>IFERROR(__xludf.DUMMYFUNCTION("""COMPUTED_VALUE"""),45812.66666666667)</f>
        <v>45812.66667</v>
      </c>
      <c r="B105" s="2">
        <f>IFERROR(__xludf.DUMMYFUNCTION("""COMPUTED_VALUE"""),332.05)</f>
        <v>332.05</v>
      </c>
      <c r="C105" s="3">
        <v>306.330770345397</v>
      </c>
    </row>
    <row r="106">
      <c r="A106" s="4">
        <f>IFERROR(__xludf.DUMMYFUNCTION("""COMPUTED_VALUE"""),45813.66666666667)</f>
        <v>45813.66667</v>
      </c>
      <c r="B106" s="2">
        <f>IFERROR(__xludf.DUMMYFUNCTION("""COMPUTED_VALUE"""),284.7)</f>
        <v>284.7</v>
      </c>
      <c r="C106" s="3">
        <v>303.316278097616</v>
      </c>
    </row>
    <row r="107">
      <c r="A107" s="4">
        <f>IFERROR(__xludf.DUMMYFUNCTION("""COMPUTED_VALUE"""),45814.66666666667)</f>
        <v>45814.66667</v>
      </c>
      <c r="B107" s="2">
        <f>IFERROR(__xludf.DUMMYFUNCTION("""COMPUTED_VALUE"""),295.14)</f>
        <v>295.14</v>
      </c>
      <c r="C107" s="3">
        <v>305.186267207666</v>
      </c>
    </row>
    <row r="108">
      <c r="A108" s="4">
        <f>IFERROR(__xludf.DUMMYFUNCTION("""COMPUTED_VALUE"""),45817.66666666667)</f>
        <v>45817.66667</v>
      </c>
      <c r="B108" s="2">
        <f>IFERROR(__xludf.DUMMYFUNCTION("""COMPUTED_VALUE"""),308.58)</f>
        <v>308.58</v>
      </c>
      <c r="C108" s="3">
        <v>307.620201464198</v>
      </c>
    </row>
    <row r="109">
      <c r="A109" s="4">
        <f>IFERROR(__xludf.DUMMYFUNCTION("""COMPUTED_VALUE"""),45818.66666666667)</f>
        <v>45818.66667</v>
      </c>
      <c r="B109" s="2">
        <f>IFERROR(__xludf.DUMMYFUNCTION("""COMPUTED_VALUE"""),326.09)</f>
        <v>326.09</v>
      </c>
      <c r="C109" s="3">
        <v>307.558162039973</v>
      </c>
    </row>
    <row r="110">
      <c r="A110" s="4">
        <f>IFERROR(__xludf.DUMMYFUNCTION("""COMPUTED_VALUE"""),45819.66666666667)</f>
        <v>45819.66667</v>
      </c>
      <c r="B110" s="2">
        <f>IFERROR(__xludf.DUMMYFUNCTION("""COMPUTED_VALUE"""),326.43)</f>
        <v>326.43</v>
      </c>
      <c r="C110" s="3">
        <v>310.887715589846</v>
      </c>
    </row>
    <row r="111">
      <c r="A111" s="4">
        <f>IFERROR(__xludf.DUMMYFUNCTION("""COMPUTED_VALUE"""),45820.66666666667)</f>
        <v>45820.66667</v>
      </c>
      <c r="B111" s="2">
        <f>IFERROR(__xludf.DUMMYFUNCTION("""COMPUTED_VALUE"""),319.11)</f>
        <v>319.11</v>
      </c>
      <c r="C111" s="3">
        <v>307.873223342061</v>
      </c>
    </row>
    <row r="112">
      <c r="A112" s="4">
        <f>IFERROR(__xludf.DUMMYFUNCTION("""COMPUTED_VALUE"""),45821.66666666667)</f>
        <v>45821.66667</v>
      </c>
      <c r="B112" s="2">
        <f>IFERROR(__xludf.DUMMYFUNCTION("""COMPUTED_VALUE"""),325.31)</f>
        <v>325.31</v>
      </c>
      <c r="C112" s="3">
        <v>309.743212452108</v>
      </c>
    </row>
    <row r="113">
      <c r="A113" s="4">
        <f>IFERROR(__xludf.DUMMYFUNCTION("""COMPUTED_VALUE"""),45824.66666666667)</f>
        <v>45824.66667</v>
      </c>
      <c r="B113" s="2">
        <f>IFERROR(__xludf.DUMMYFUNCTION("""COMPUTED_VALUE"""),329.13)</f>
        <v>329.13</v>
      </c>
      <c r="C113" s="3">
        <v>312.177146708639</v>
      </c>
    </row>
    <row r="114">
      <c r="A114" s="4">
        <f>IFERROR(__xludf.DUMMYFUNCTION("""COMPUTED_VALUE"""),45825.66666666667)</f>
        <v>45825.66667</v>
      </c>
      <c r="B114" s="2">
        <f>IFERROR(__xludf.DUMMYFUNCTION("""COMPUTED_VALUE"""),316.35)</f>
        <v>316.35</v>
      </c>
      <c r="C114" s="3">
        <v>312.115107290636</v>
      </c>
    </row>
    <row r="115">
      <c r="A115" s="4">
        <f>IFERROR(__xludf.DUMMYFUNCTION("""COMPUTED_VALUE"""),45826.66666666667)</f>
        <v>45826.66667</v>
      </c>
      <c r="B115" s="2">
        <f>IFERROR(__xludf.DUMMYFUNCTION("""COMPUTED_VALUE"""),322.05)</f>
        <v>322.05</v>
      </c>
      <c r="C115" s="3">
        <v>315.444660846712</v>
      </c>
    </row>
    <row r="116">
      <c r="A116" s="4">
        <f>IFERROR(__xludf.DUMMYFUNCTION("""COMPUTED_VALUE"""),45828.66666666667)</f>
        <v>45828.66667</v>
      </c>
      <c r="B116" s="2">
        <f>IFERROR(__xludf.DUMMYFUNCTION("""COMPUTED_VALUE"""),322.16)</f>
        <v>322.16</v>
      </c>
      <c r="C116" s="3">
        <v>314.300157721424</v>
      </c>
    </row>
    <row r="117">
      <c r="A117" s="4">
        <f>IFERROR(__xludf.DUMMYFUNCTION("""COMPUTED_VALUE"""),45831.66666666667)</f>
        <v>45831.66667</v>
      </c>
      <c r="B117" s="2">
        <f>IFERROR(__xludf.DUMMYFUNCTION("""COMPUTED_VALUE"""),348.68)</f>
        <v>348.68</v>
      </c>
      <c r="C117" s="3">
        <v>316.734091996544</v>
      </c>
    </row>
    <row r="118">
      <c r="A118" s="4">
        <f>IFERROR(__xludf.DUMMYFUNCTION("""COMPUTED_VALUE"""),45832.66666666667)</f>
        <v>45832.66667</v>
      </c>
      <c r="B118" s="2">
        <f>IFERROR(__xludf.DUMMYFUNCTION("""COMPUTED_VALUE"""),340.47)</f>
        <v>340.47</v>
      </c>
      <c r="C118" s="3">
        <v>316.672052578543</v>
      </c>
    </row>
    <row r="119">
      <c r="A119" s="4">
        <f>IFERROR(__xludf.DUMMYFUNCTION("""COMPUTED_VALUE"""),45833.66666666667)</f>
        <v>45833.66667</v>
      </c>
      <c r="B119" s="2">
        <f>IFERROR(__xludf.DUMMYFUNCTION("""COMPUTED_VALUE"""),327.55)</f>
        <v>327.55</v>
      </c>
      <c r="C119" s="3">
        <v>320.001606134621</v>
      </c>
    </row>
    <row r="120">
      <c r="A120" s="4">
        <f>IFERROR(__xludf.DUMMYFUNCTION("""COMPUTED_VALUE"""),45834.66666666667)</f>
        <v>45834.66667</v>
      </c>
      <c r="B120" s="2">
        <f>IFERROR(__xludf.DUMMYFUNCTION("""COMPUTED_VALUE"""),325.78)</f>
        <v>325.78</v>
      </c>
      <c r="C120" s="3">
        <v>316.987113893046</v>
      </c>
    </row>
    <row r="121">
      <c r="A121" s="4">
        <f>IFERROR(__xludf.DUMMYFUNCTION("""COMPUTED_VALUE"""),45835.66666666667)</f>
        <v>45835.66667</v>
      </c>
      <c r="B121" s="2">
        <f>IFERROR(__xludf.DUMMYFUNCTION("""COMPUTED_VALUE"""),323.63)</f>
        <v>323.63</v>
      </c>
      <c r="C121" s="3">
        <v>318.857103009312</v>
      </c>
    </row>
    <row r="122">
      <c r="A122" s="4">
        <f>IFERROR(__xludf.DUMMYFUNCTION("""COMPUTED_VALUE"""),45838.66666666667)</f>
        <v>45838.66667</v>
      </c>
      <c r="B122" s="2">
        <f>IFERROR(__xludf.DUMMYFUNCTION("""COMPUTED_VALUE"""),317.66)</f>
        <v>317.66</v>
      </c>
      <c r="C122" s="3">
        <v>321.29103727576</v>
      </c>
    </row>
    <row r="123">
      <c r="A123" s="4">
        <f>IFERROR(__xludf.DUMMYFUNCTION("""COMPUTED_VALUE"""),45839.66666666667)</f>
        <v>45839.66667</v>
      </c>
      <c r="B123" s="2">
        <f>IFERROR(__xludf.DUMMYFUNCTION("""COMPUTED_VALUE"""),300.71)</f>
        <v>300.71</v>
      </c>
      <c r="C123" s="3">
        <v>321.22899785486</v>
      </c>
    </row>
    <row r="124">
      <c r="A124" s="4">
        <f>IFERROR(__xludf.DUMMYFUNCTION("""COMPUTED_VALUE"""),45840.66666666667)</f>
        <v>45840.66667</v>
      </c>
      <c r="B124" s="2">
        <f>IFERROR(__xludf.DUMMYFUNCTION("""COMPUTED_VALUE"""),315.65)</f>
        <v>315.65</v>
      </c>
      <c r="C124" s="3">
        <v>324.558551408027</v>
      </c>
    </row>
    <row r="125">
      <c r="A125" s="4">
        <f>IFERROR(__xludf.DUMMYFUNCTION("""COMPUTED_VALUE"""),45841.54513888889)</f>
        <v>45841.54514</v>
      </c>
      <c r="B125" s="2">
        <f>IFERROR(__xludf.DUMMYFUNCTION("""COMPUTED_VALUE"""),315.35)</f>
        <v>315.35</v>
      </c>
      <c r="C125" s="3">
        <v>321.544059163562</v>
      </c>
    </row>
    <row r="126">
      <c r="A126" s="4">
        <f>IFERROR(__xludf.DUMMYFUNCTION("""COMPUTED_VALUE"""),45845.66666666667)</f>
        <v>45845.66667</v>
      </c>
      <c r="B126" s="2">
        <f>IFERROR(__xludf.DUMMYFUNCTION("""COMPUTED_VALUE"""),293.94)</f>
        <v>293.94</v>
      </c>
      <c r="C126" s="3">
        <v>325.847982543374</v>
      </c>
    </row>
    <row r="127">
      <c r="A127" s="4">
        <f>IFERROR(__xludf.DUMMYFUNCTION("""COMPUTED_VALUE"""),45846.66666666667)</f>
        <v>45846.66667</v>
      </c>
      <c r="B127" s="2">
        <f>IFERROR(__xludf.DUMMYFUNCTION("""COMPUTED_VALUE"""),297.81)</f>
        <v>297.81</v>
      </c>
      <c r="C127" s="3">
        <v>325.785943122455</v>
      </c>
    </row>
    <row r="128">
      <c r="A128" s="4">
        <f>IFERROR(__xludf.DUMMYFUNCTION("""COMPUTED_VALUE"""),45847.66666666667)</f>
        <v>45847.66667</v>
      </c>
      <c r="B128" s="2">
        <f>IFERROR(__xludf.DUMMYFUNCTION("""COMPUTED_VALUE"""),295.88)</f>
        <v>295.88</v>
      </c>
      <c r="C128" s="3">
        <v>329.115496675632</v>
      </c>
    </row>
    <row r="129">
      <c r="A129" s="4">
        <f>IFERROR(__xludf.DUMMYFUNCTION("""COMPUTED_VALUE"""),45848.66666666667)</f>
        <v>45848.66667</v>
      </c>
      <c r="B129" s="2">
        <f>IFERROR(__xludf.DUMMYFUNCTION("""COMPUTED_VALUE"""),309.87)</f>
        <v>309.87</v>
      </c>
      <c r="C129" s="3">
        <v>326.101004431163</v>
      </c>
    </row>
    <row r="130">
      <c r="A130" s="4">
        <f>IFERROR(__xludf.DUMMYFUNCTION("""COMPUTED_VALUE"""),45849.66666666667)</f>
        <v>45849.66667</v>
      </c>
      <c r="B130" s="2">
        <f>IFERROR(__xludf.DUMMYFUNCTION("""COMPUTED_VALUE"""),313.51)</f>
        <v>313.51</v>
      </c>
      <c r="C130" s="3">
        <v>327.970994109236</v>
      </c>
    </row>
    <row r="131">
      <c r="A131" s="4">
        <f>IFERROR(__xludf.DUMMYFUNCTION("""COMPUTED_VALUE"""),45852.66666666667)</f>
        <v>45852.66667</v>
      </c>
      <c r="B131" s="2">
        <f>IFERROR(__xludf.DUMMYFUNCTION("""COMPUTED_VALUE"""),316.9)</f>
        <v>316.9</v>
      </c>
      <c r="C131" s="3">
        <v>330.404930069853</v>
      </c>
    </row>
    <row r="132">
      <c r="A132" s="4">
        <f>IFERROR(__xludf.DUMMYFUNCTION("""COMPUTED_VALUE"""),45853.66666666667)</f>
        <v>45853.66667</v>
      </c>
      <c r="B132" s="2">
        <f>IFERROR(__xludf.DUMMYFUNCTION("""COMPUTED_VALUE"""),310.78)</f>
        <v>310.78</v>
      </c>
      <c r="C132" s="3">
        <v>330.342891213646</v>
      </c>
    </row>
    <row r="133">
      <c r="A133" s="4">
        <f>IFERROR(__xludf.DUMMYFUNCTION("""COMPUTED_VALUE"""),45854.66666666667)</f>
        <v>45854.66667</v>
      </c>
      <c r="B133" s="2">
        <f>IFERROR(__xludf.DUMMYFUNCTION("""COMPUTED_VALUE"""),321.67)</f>
        <v>321.67</v>
      </c>
      <c r="C133" s="3">
        <v>333.672445331533</v>
      </c>
    </row>
    <row r="134">
      <c r="A134" s="4">
        <f>IFERROR(__xludf.DUMMYFUNCTION("""COMPUTED_VALUE"""),45855.66666666667)</f>
        <v>45855.66667</v>
      </c>
      <c r="B134" s="2">
        <f>IFERROR(__xludf.DUMMYFUNCTION("""COMPUTED_VALUE"""),319.41)</f>
        <v>319.41</v>
      </c>
      <c r="C134" s="3">
        <v>330.657953651779</v>
      </c>
    </row>
    <row r="135">
      <c r="A135" s="4">
        <f>IFERROR(__xludf.DUMMYFUNCTION("""COMPUTED_VALUE"""),45856.66666666667)</f>
        <v>45856.66667</v>
      </c>
      <c r="B135" s="2">
        <f>IFERROR(__xludf.DUMMYFUNCTION("""COMPUTED_VALUE"""),329.65)</f>
        <v>329.65</v>
      </c>
      <c r="C135" s="3">
        <v>332.527943329847</v>
      </c>
    </row>
    <row r="136">
      <c r="A136" s="4">
        <f>IFERROR(__xludf.DUMMYFUNCTION("""COMPUTED_VALUE"""),45859.66666666667)</f>
        <v>45859.66667</v>
      </c>
      <c r="B136" s="2">
        <f>IFERROR(__xludf.DUMMYFUNCTION("""COMPUTED_VALUE"""),328.49)</f>
        <v>328.49</v>
      </c>
      <c r="C136" s="3">
        <v>334.961879290465</v>
      </c>
    </row>
    <row r="137">
      <c r="A137" s="4">
        <f>IFERROR(__xludf.DUMMYFUNCTION("""COMPUTED_VALUE"""),45860.66666666667)</f>
        <v>45860.66667</v>
      </c>
      <c r="B137" s="2">
        <f>IFERROR(__xludf.DUMMYFUNCTION("""COMPUTED_VALUE"""),332.11)</f>
        <v>332.11</v>
      </c>
      <c r="C137" s="3">
        <v>334.899840434262</v>
      </c>
    </row>
    <row r="138">
      <c r="A138" s="4">
        <f>IFERROR(__xludf.DUMMYFUNCTION("""COMPUTED_VALUE"""),45861.66666666667)</f>
        <v>45861.66667</v>
      </c>
      <c r="B138" s="2">
        <f>IFERROR(__xludf.DUMMYFUNCTION("""COMPUTED_VALUE"""),332.56)</f>
        <v>332.56</v>
      </c>
      <c r="C138" s="3">
        <v>338.261331191646</v>
      </c>
    </row>
    <row r="139">
      <c r="A139" s="4">
        <f>IFERROR(__xludf.DUMMYFUNCTION("""COMPUTED_VALUE"""),45862.66666666667)</f>
        <v>45862.66667</v>
      </c>
      <c r="B139" s="2">
        <f>IFERROR(__xludf.DUMMYFUNCTION("""COMPUTED_VALUE"""),305.3)</f>
        <v>305.3</v>
      </c>
      <c r="C139" s="3">
        <v>335.278776151377</v>
      </c>
    </row>
    <row r="140">
      <c r="A140" s="4">
        <f>IFERROR(__xludf.DUMMYFUNCTION("""COMPUTED_VALUE"""),45863.66666666667)</f>
        <v>45863.66667</v>
      </c>
      <c r="B140" s="2">
        <f>IFERROR(__xludf.DUMMYFUNCTION("""COMPUTED_VALUE"""),316.06)</f>
        <v>316.06</v>
      </c>
      <c r="C140" s="3">
        <v>337.180702468934</v>
      </c>
    </row>
    <row r="141">
      <c r="A141" s="4">
        <f>IFERROR(__xludf.DUMMYFUNCTION("""COMPUTED_VALUE"""),45866.66666666667)</f>
        <v>45866.66667</v>
      </c>
      <c r="B141" s="2">
        <f>IFERROR(__xludf.DUMMYFUNCTION("""COMPUTED_VALUE"""),325.59)</f>
        <v>325.59</v>
      </c>
      <c r="C141" s="3">
        <v>339.710448348017</v>
      </c>
    </row>
    <row r="142">
      <c r="A142" s="4">
        <f>IFERROR(__xludf.DUMMYFUNCTION("""COMPUTED_VALUE"""),45867.66666666667)</f>
        <v>45867.66667</v>
      </c>
      <c r="B142" s="2">
        <f>IFERROR(__xludf.DUMMYFUNCTION("""COMPUTED_VALUE"""),321.2)</f>
        <v>321.2</v>
      </c>
      <c r="C142" s="3">
        <v>339.680346131324</v>
      </c>
    </row>
    <row r="143">
      <c r="A143" s="4">
        <f>IFERROR(__xludf.DUMMYFUNCTION("""COMPUTED_VALUE"""),45868.66666666667)</f>
        <v>45868.66667</v>
      </c>
      <c r="B143" s="2">
        <f>IFERROR(__xludf.DUMMYFUNCTION("""COMPUTED_VALUE"""),319.04)</f>
        <v>319.04</v>
      </c>
      <c r="C143" s="3">
        <v>343.041836888711</v>
      </c>
    </row>
    <row r="144">
      <c r="A144" s="4">
        <f>IFERROR(__xludf.DUMMYFUNCTION("""COMPUTED_VALUE"""),45869.66666666667)</f>
        <v>45869.66667</v>
      </c>
      <c r="B144" s="2">
        <f>IFERROR(__xludf.DUMMYFUNCTION("""COMPUTED_VALUE"""),308.27)</f>
        <v>308.27</v>
      </c>
      <c r="C144" s="3">
        <v>340.059281848452</v>
      </c>
    </row>
    <row r="145">
      <c r="A145" s="4">
        <f>IFERROR(__xludf.DUMMYFUNCTION("""COMPUTED_VALUE"""),45870.66666666667)</f>
        <v>45870.66667</v>
      </c>
      <c r="B145" s="2">
        <f>IFERROR(__xludf.DUMMYFUNCTION("""COMPUTED_VALUE"""),302.63)</f>
        <v>302.63</v>
      </c>
      <c r="C145" s="3">
        <v>341.961208166005</v>
      </c>
    </row>
    <row r="146">
      <c r="A146" s="4">
        <f>IFERROR(__xludf.DUMMYFUNCTION("""COMPUTED_VALUE"""),45873.66666666667)</f>
        <v>45873.66667</v>
      </c>
      <c r="B146" s="2">
        <f>IFERROR(__xludf.DUMMYFUNCTION("""COMPUTED_VALUE"""),309.26)</f>
        <v>309.26</v>
      </c>
      <c r="C146" s="3">
        <v>344.996127982588</v>
      </c>
    </row>
    <row r="147">
      <c r="A147" s="4">
        <f>IFERROR(__xludf.DUMMYFUNCTION("""COMPUTED_VALUE"""),45874.66666666667)</f>
        <v>45874.66667</v>
      </c>
      <c r="B147" s="2">
        <f>IFERROR(__xludf.DUMMYFUNCTION("""COMPUTED_VALUE"""),308.72)</f>
        <v>308.72</v>
      </c>
      <c r="C147" s="3">
        <v>345.134417078401</v>
      </c>
    </row>
    <row r="148">
      <c r="A148" s="4">
        <f>IFERROR(__xludf.DUMMYFUNCTION("""COMPUTED_VALUE"""),45875.66666666667)</f>
        <v>45875.66667</v>
      </c>
      <c r="B148" s="2">
        <f>IFERROR(__xludf.DUMMYFUNCTION("""COMPUTED_VALUE"""),319.91)</f>
        <v>319.91</v>
      </c>
      <c r="C148" s="3">
        <v>348.664299148293</v>
      </c>
    </row>
    <row r="149">
      <c r="A149" s="4">
        <f>IFERROR(__xludf.DUMMYFUNCTION("""COMPUTED_VALUE"""),45876.66666666667)</f>
        <v>45876.66667</v>
      </c>
      <c r="B149" s="2">
        <f>IFERROR(__xludf.DUMMYFUNCTION("""COMPUTED_VALUE"""),322.27)</f>
        <v>322.27</v>
      </c>
      <c r="C149" s="3">
        <v>345.850135420534</v>
      </c>
    </row>
    <row r="150">
      <c r="A150" s="4">
        <f>IFERROR(__xludf.DUMMYFUNCTION("""COMPUTED_VALUE"""),45877.66666666667)</f>
        <v>45877.66667</v>
      </c>
      <c r="B150" s="2">
        <f>IFERROR(__xludf.DUMMYFUNCTION("""COMPUTED_VALUE"""),329.65)</f>
        <v>329.65</v>
      </c>
      <c r="C150" s="3">
        <v>347.920453050614</v>
      </c>
    </row>
    <row r="151">
      <c r="A151" s="4">
        <f>IFERROR(__xludf.DUMMYFUNCTION("""COMPUTED_VALUE"""),45880.66666666667)</f>
        <v>45880.66667</v>
      </c>
      <c r="B151" s="2">
        <f>IFERROR(__xludf.DUMMYFUNCTION("""COMPUTED_VALUE"""),339.03)</f>
        <v>339.03</v>
      </c>
      <c r="C151" s="3">
        <v>350.9553728672</v>
      </c>
    </row>
    <row r="152">
      <c r="A152" s="4">
        <f>IFERROR(__xludf.DUMMYFUNCTION("""COMPUTED_VALUE"""),45881.66666666667)</f>
        <v>45881.66667</v>
      </c>
      <c r="B152" s="2">
        <f>IFERROR(__xludf.DUMMYFUNCTION("""COMPUTED_VALUE"""),340.84)</f>
        <v>340.84</v>
      </c>
      <c r="C152" s="3">
        <v>351.093661962997</v>
      </c>
    </row>
    <row r="153">
      <c r="A153" s="4">
        <f>IFERROR(__xludf.DUMMYFUNCTION("""COMPUTED_VALUE"""),45882.66666666667)</f>
        <v>45882.66667</v>
      </c>
      <c r="B153" s="2">
        <f>IFERROR(__xludf.DUMMYFUNCTION("""COMPUTED_VALUE"""),339.38)</f>
        <v>339.38</v>
      </c>
      <c r="C153" s="3">
        <v>354.623544032886</v>
      </c>
    </row>
    <row r="154">
      <c r="A154" s="4">
        <f>IFERROR(__xludf.DUMMYFUNCTION("""COMPUTED_VALUE"""),45883.66666666667)</f>
        <v>45883.66667</v>
      </c>
      <c r="B154" s="2">
        <f>IFERROR(__xludf.DUMMYFUNCTION("""COMPUTED_VALUE"""),335.58)</f>
        <v>335.58</v>
      </c>
      <c r="C154" s="3">
        <v>351.969140012687</v>
      </c>
    </row>
    <row r="155">
      <c r="A155" s="4">
        <f>IFERROR(__xludf.DUMMYFUNCTION("""COMPUTED_VALUE"""),45884.66666666667)</f>
        <v>45884.66667</v>
      </c>
      <c r="B155" s="2">
        <f>IFERROR(__xludf.DUMMYFUNCTION("""COMPUTED_VALUE"""),330.56)</f>
        <v>330.56</v>
      </c>
      <c r="C155" s="3">
        <v>354.199217350344</v>
      </c>
    </row>
    <row r="156">
      <c r="A156" s="4">
        <f>IFERROR(__xludf.DUMMYFUNCTION("""COMPUTED_VALUE"""),45887.66666666667)</f>
        <v>45887.66667</v>
      </c>
      <c r="B156" s="2">
        <f>IFERROR(__xludf.DUMMYFUNCTION("""COMPUTED_VALUE"""),335.16)</f>
        <v>335.16</v>
      </c>
      <c r="C156" s="3">
        <v>357.713416289621</v>
      </c>
    </row>
    <row r="157">
      <c r="A157" s="4">
        <f>IFERROR(__xludf.DUMMYFUNCTION("""COMPUTED_VALUE"""),45888.66666666667)</f>
        <v>45888.66667</v>
      </c>
      <c r="B157" s="2">
        <f>IFERROR(__xludf.DUMMYFUNCTION("""COMPUTED_VALUE"""),329.31)</f>
        <v>329.31</v>
      </c>
      <c r="C157" s="3">
        <v>358.011465092993</v>
      </c>
    </row>
    <row r="158">
      <c r="A158" s="4">
        <f>IFERROR(__xludf.DUMMYFUNCTION("""COMPUTED_VALUE"""),45889.66666666667)</f>
        <v>45889.66667</v>
      </c>
      <c r="B158" s="2">
        <f>IFERROR(__xludf.DUMMYFUNCTION("""COMPUTED_VALUE"""),323.9)</f>
        <v>323.9</v>
      </c>
      <c r="C158" s="3">
        <v>361.701106870446</v>
      </c>
    </row>
    <row r="159">
      <c r="A159" s="4">
        <f>IFERROR(__xludf.DUMMYFUNCTION("""COMPUTED_VALUE"""),45890.66666666667)</f>
        <v>45890.66667</v>
      </c>
      <c r="B159" s="2">
        <f>IFERROR(__xludf.DUMMYFUNCTION("""COMPUTED_VALUE"""),320.11)</f>
        <v>320.11</v>
      </c>
      <c r="C159" s="3">
        <v>359.046702850257</v>
      </c>
    </row>
    <row r="160">
      <c r="A160" s="4">
        <f>IFERROR(__xludf.DUMMYFUNCTION("""COMPUTED_VALUE"""),45891.66666666667)</f>
        <v>45891.66667</v>
      </c>
      <c r="B160" s="2">
        <f>IFERROR(__xludf.DUMMYFUNCTION("""COMPUTED_VALUE"""),340.01)</f>
        <v>340.01</v>
      </c>
      <c r="C160" s="3">
        <v>361.276780187883</v>
      </c>
    </row>
    <row r="161">
      <c r="A161" s="4">
        <f>IFERROR(__xludf.DUMMYFUNCTION("""COMPUTED_VALUE"""),45894.66666666667)</f>
        <v>45894.66667</v>
      </c>
      <c r="B161" s="2">
        <f>IFERROR(__xludf.DUMMYFUNCTION("""COMPUTED_VALUE"""),346.6)</f>
        <v>346.6</v>
      </c>
      <c r="C161" s="3">
        <v>364.790979127177</v>
      </c>
    </row>
    <row r="162">
      <c r="A162" s="4">
        <f>IFERROR(__xludf.DUMMYFUNCTION("""COMPUTED_VALUE"""),45895.66666666667)</f>
        <v>45895.66667</v>
      </c>
      <c r="B162" s="2">
        <f>IFERROR(__xludf.DUMMYFUNCTION("""COMPUTED_VALUE"""),351.67)</f>
        <v>351.67</v>
      </c>
      <c r="C162" s="3">
        <v>365.09854417197</v>
      </c>
    </row>
    <row r="163">
      <c r="A163" s="4">
        <f>IFERROR(__xludf.DUMMYFUNCTION("""COMPUTED_VALUE"""),45896.66666666667)</f>
        <v>45896.66667</v>
      </c>
      <c r="B163" s="2">
        <f>IFERROR(__xludf.DUMMYFUNCTION("""COMPUTED_VALUE"""),349.6)</f>
        <v>349.6</v>
      </c>
      <c r="C163" s="3">
        <v>368.797702190846</v>
      </c>
    </row>
    <row r="164">
      <c r="A164" s="4">
        <f>IFERROR(__xludf.DUMMYFUNCTION("""COMPUTED_VALUE"""),45897.66666666667)</f>
        <v>45897.66667</v>
      </c>
      <c r="B164" s="2">
        <f>IFERROR(__xludf.DUMMYFUNCTION("""COMPUTED_VALUE"""),345.98)</f>
        <v>345.98</v>
      </c>
      <c r="C164" s="3">
        <v>366.152814412071</v>
      </c>
    </row>
    <row r="165">
      <c r="A165" s="4">
        <f>IFERROR(__xludf.DUMMYFUNCTION("""COMPUTED_VALUE"""),45898.66666666667)</f>
        <v>45898.66667</v>
      </c>
      <c r="B165" s="2">
        <f>IFERROR(__xludf.DUMMYFUNCTION("""COMPUTED_VALUE"""),333.87)</f>
        <v>333.87</v>
      </c>
      <c r="C165" s="3">
        <v>368.392407991129</v>
      </c>
    </row>
    <row r="166">
      <c r="A166" s="4">
        <f>IFERROR(__xludf.DUMMYFUNCTION("""COMPUTED_VALUE"""),45902.66666666667)</f>
        <v>45902.66667</v>
      </c>
      <c r="B166" s="2">
        <f>IFERROR(__xludf.DUMMYFUNCTION("""COMPUTED_VALUE"""),329.36)</f>
        <v>329.36</v>
      </c>
      <c r="C166" s="3">
        <v>372.242720699458</v>
      </c>
    </row>
    <row r="167">
      <c r="A167" s="4">
        <f>IFERROR(__xludf.DUMMYFUNCTION("""COMPUTED_VALUE"""),45903.66666666667)</f>
        <v>45903.66667</v>
      </c>
      <c r="B167" s="2">
        <f>IFERROR(__xludf.DUMMYFUNCTION("""COMPUTED_VALUE"""),334.09)</f>
        <v>334.09</v>
      </c>
      <c r="C167" s="3">
        <v>375.941878718344</v>
      </c>
    </row>
    <row r="168">
      <c r="A168" s="4">
        <f>IFERROR(__xludf.DUMMYFUNCTION("""COMPUTED_VALUE"""),45904.66666666667)</f>
        <v>45904.66667</v>
      </c>
      <c r="B168" s="2">
        <f>IFERROR(__xludf.DUMMYFUNCTION("""COMPUTED_VALUE"""),338.53)</f>
        <v>338.53</v>
      </c>
      <c r="C168" s="3">
        <v>373.296990939569</v>
      </c>
    </row>
    <row r="169">
      <c r="A169" s="4">
        <f>IFERROR(__xludf.DUMMYFUNCTION("""COMPUTED_VALUE"""),45905.66666666667)</f>
        <v>45905.66667</v>
      </c>
      <c r="B169" s="2">
        <f>IFERROR(__xludf.DUMMYFUNCTION("""COMPUTED_VALUE"""),350.84)</f>
        <v>350.84</v>
      </c>
      <c r="C169" s="3">
        <v>375.536584518633</v>
      </c>
    </row>
    <row r="170">
      <c r="A170" s="4">
        <f>IFERROR(__xludf.DUMMYFUNCTION("""COMPUTED_VALUE"""),45908.66666666667)</f>
        <v>45908.66667</v>
      </c>
      <c r="B170" s="2">
        <f>IFERROR(__xludf.DUMMYFUNCTION("""COMPUTED_VALUE"""),346.4)</f>
        <v>346.4</v>
      </c>
      <c r="C170" s="3">
        <v>379.079332221287</v>
      </c>
    </row>
    <row r="171">
      <c r="A171" s="4">
        <f>IFERROR(__xludf.DUMMYFUNCTION("""COMPUTED_VALUE"""),45909.66666666667)</f>
        <v>45909.66667</v>
      </c>
      <c r="B171" s="2">
        <f>IFERROR(__xludf.DUMMYFUNCTION("""COMPUTED_VALUE"""),346.97)</f>
        <v>346.97</v>
      </c>
      <c r="C171" s="3">
        <v>379.386897279095</v>
      </c>
    </row>
    <row r="172">
      <c r="A172" s="4">
        <f>IFERROR(__xludf.DUMMYFUNCTION("""COMPUTED_VALUE"""),45910.66666666667)</f>
        <v>45910.66667</v>
      </c>
      <c r="B172" s="2">
        <f>IFERROR(__xludf.DUMMYFUNCTION("""COMPUTED_VALUE"""),347.79)</f>
        <v>347.79</v>
      </c>
      <c r="C172" s="3">
        <v>383.086055311002</v>
      </c>
    </row>
    <row r="173">
      <c r="A173" s="4">
        <f>IFERROR(__xludf.DUMMYFUNCTION("""COMPUTED_VALUE"""),45911.66666666667)</f>
        <v>45911.66667</v>
      </c>
      <c r="B173" s="2">
        <f>IFERROR(__xludf.DUMMYFUNCTION("""COMPUTED_VALUE"""),368.81)</f>
        <v>368.81</v>
      </c>
      <c r="C173" s="3">
        <v>380.441167545254</v>
      </c>
    </row>
    <row r="174">
      <c r="A174" s="4">
        <f>IFERROR(__xludf.DUMMYFUNCTION("""COMPUTED_VALUE"""),45912.66666666667)</f>
        <v>45912.66667</v>
      </c>
      <c r="B174" s="2">
        <f>IFERROR(__xludf.DUMMYFUNCTION("""COMPUTED_VALUE"""),395.94)</f>
        <v>395.94</v>
      </c>
      <c r="C174" s="3">
        <v>382.680761137361</v>
      </c>
    </row>
    <row r="175">
      <c r="A175" s="4">
        <f>IFERROR(__xludf.DUMMYFUNCTION("""COMPUTED_VALUE"""),45915.66666666667)</f>
        <v>45915.66667</v>
      </c>
      <c r="B175" s="2">
        <f>IFERROR(__xludf.DUMMYFUNCTION("""COMPUTED_VALUE"""),410.04)</f>
        <v>410.04</v>
      </c>
      <c r="C175" s="3">
        <v>386.223508839989</v>
      </c>
    </row>
    <row r="176">
      <c r="A176" s="4">
        <f>IFERROR(__xludf.DUMMYFUNCTION("""COMPUTED_VALUE"""),45916.66666666667)</f>
        <v>45916.66667</v>
      </c>
      <c r="B176" s="2">
        <f>IFERROR(__xludf.DUMMYFUNCTION("""COMPUTED_VALUE"""),421.62)</f>
        <v>421.62</v>
      </c>
      <c r="C176" s="3">
        <v>386.531073897816</v>
      </c>
    </row>
    <row r="177">
      <c r="A177" s="4">
        <f>IFERROR(__xludf.DUMMYFUNCTION("""COMPUTED_VALUE"""),45917.66666666667)</f>
        <v>45917.66667</v>
      </c>
      <c r="B177" s="2">
        <f>IFERROR(__xludf.DUMMYFUNCTION("""COMPUTED_VALUE"""),425.86)</f>
        <v>425.86</v>
      </c>
      <c r="C177" s="3">
        <v>390.230231929725</v>
      </c>
    </row>
    <row r="178">
      <c r="A178" s="4">
        <f>IFERROR(__xludf.DUMMYFUNCTION("""COMPUTED_VALUE"""),45918.66666666667)</f>
        <v>45918.66667</v>
      </c>
      <c r="B178" s="2">
        <f>IFERROR(__xludf.DUMMYFUNCTION("""COMPUTED_VALUE"""),416.85)</f>
        <v>416.85</v>
      </c>
      <c r="C178" s="3">
        <v>387.585344151365</v>
      </c>
    </row>
    <row r="179">
      <c r="A179" s="4">
        <f>IFERROR(__xludf.DUMMYFUNCTION("""COMPUTED_VALUE"""),45919.66666666667)</f>
        <v>45919.66667</v>
      </c>
      <c r="B179" s="2">
        <f>IFERROR(__xludf.DUMMYFUNCTION("""COMPUTED_VALUE"""),426.07)</f>
        <v>426.07</v>
      </c>
      <c r="C179" s="3">
        <v>389.82493773086</v>
      </c>
    </row>
    <row r="180">
      <c r="A180" s="4">
        <f>IFERROR(__xludf.DUMMYFUNCTION("""COMPUTED_VALUE"""),45922.66666666667)</f>
        <v>45922.66667</v>
      </c>
      <c r="B180" s="2">
        <f>IFERROR(__xludf.DUMMYFUNCTION("""COMPUTED_VALUE"""),434.21)</f>
        <v>434.21</v>
      </c>
      <c r="C180" s="3">
        <v>393.367685395632</v>
      </c>
    </row>
    <row r="181">
      <c r="A181" s="4">
        <f>IFERROR(__xludf.DUMMYFUNCTION("""COMPUTED_VALUE"""),45923.66666666667)</f>
        <v>45923.66667</v>
      </c>
      <c r="B181" s="2">
        <f>IFERROR(__xludf.DUMMYFUNCTION("""COMPUTED_VALUE"""),425.85)</f>
        <v>425.85</v>
      </c>
      <c r="C181" s="3">
        <v>393.675250440854</v>
      </c>
    </row>
    <row r="182">
      <c r="A182" s="4">
        <f>IFERROR(__xludf.DUMMYFUNCTION("""COMPUTED_VALUE"""),45924.66666666667)</f>
        <v>45924.66667</v>
      </c>
      <c r="B182" s="2">
        <f>IFERROR(__xludf.DUMMYFUNCTION("""COMPUTED_VALUE"""),442.79)</f>
        <v>442.79</v>
      </c>
      <c r="C182" s="3">
        <v>397.374408460143</v>
      </c>
    </row>
    <row r="183">
      <c r="A183" s="4">
        <f>IFERROR(__xludf.DUMMYFUNCTION("""COMPUTED_VALUE"""),45925.66666666667)</f>
        <v>45925.66667</v>
      </c>
      <c r="B183" s="2">
        <f>IFERROR(__xludf.DUMMYFUNCTION("""COMPUTED_VALUE"""),423.39)</f>
        <v>423.39</v>
      </c>
      <c r="C183" s="3">
        <v>394.729520681786</v>
      </c>
    </row>
    <row r="184">
      <c r="A184" s="4">
        <f>IFERROR(__xludf.DUMMYFUNCTION("""COMPUTED_VALUE"""),45926.66666666667)</f>
        <v>45926.66667</v>
      </c>
      <c r="B184" s="2">
        <f>IFERROR(__xludf.DUMMYFUNCTION("""COMPUTED_VALUE"""),440.4)</f>
        <v>440.4</v>
      </c>
      <c r="C184" s="3">
        <v>396.969114261256</v>
      </c>
    </row>
    <row r="185">
      <c r="A185" s="4">
        <f>IFERROR(__xludf.DUMMYFUNCTION("""COMPUTED_VALUE"""),45929.66666666667)</f>
        <v>45929.66667</v>
      </c>
      <c r="B185" s="2">
        <f>IFERROR(__xludf.DUMMYFUNCTION("""COMPUTED_VALUE"""),443.21)</f>
        <v>443.21</v>
      </c>
      <c r="C185" s="3">
        <v>400.511861926073</v>
      </c>
    </row>
    <row r="186">
      <c r="A186" s="4">
        <f>IFERROR(__xludf.DUMMYFUNCTION("""COMPUTED_VALUE"""),45930.66666666667)</f>
        <v>45930.66667</v>
      </c>
      <c r="B186" s="2">
        <f>IFERROR(__xludf.DUMMYFUNCTION("""COMPUTED_VALUE"""),444.72)</f>
        <v>444.72</v>
      </c>
      <c r="C186" s="3">
        <v>400.765358368734</v>
      </c>
    </row>
    <row r="187">
      <c r="A187" s="4">
        <f>IFERROR(__xludf.DUMMYFUNCTION("""COMPUTED_VALUE"""),45931.66666666667)</f>
        <v>45931.66667</v>
      </c>
      <c r="B187" s="2">
        <f>IFERROR(__xludf.DUMMYFUNCTION("""COMPUTED_VALUE"""),459.46)</f>
        <v>459.46</v>
      </c>
      <c r="C187" s="3">
        <v>404.410447785476</v>
      </c>
    </row>
    <row r="188">
      <c r="A188" s="4">
        <f>IFERROR(__xludf.DUMMYFUNCTION("""COMPUTED_VALUE"""),45932.66666666667)</f>
        <v>45932.66667</v>
      </c>
      <c r="B188" s="2">
        <f>IFERROR(__xludf.DUMMYFUNCTION("""COMPUTED_VALUE"""),436.0)</f>
        <v>436</v>
      </c>
      <c r="C188" s="3">
        <v>401.711491404576</v>
      </c>
    </row>
    <row r="189">
      <c r="A189" s="4">
        <f>IFERROR(__xludf.DUMMYFUNCTION("""COMPUTED_VALUE"""),45933.66666666667)</f>
        <v>45933.66667</v>
      </c>
      <c r="B189" s="2">
        <f>IFERROR(__xludf.DUMMYFUNCTION("""COMPUTED_VALUE"""),429.83)</f>
        <v>429.83</v>
      </c>
      <c r="C189" s="3">
        <v>403.897016381506</v>
      </c>
    </row>
    <row r="190">
      <c r="A190" s="4">
        <f>IFERROR(__xludf.DUMMYFUNCTION("""COMPUTED_VALUE"""),45936.66666666667)</f>
        <v>45936.66667</v>
      </c>
      <c r="B190" s="2">
        <f>IFERROR(__xludf.DUMMYFUNCTION("""COMPUTED_VALUE"""),453.25)</f>
        <v>453.25</v>
      </c>
      <c r="C190" s="3">
        <v>407.277558238665</v>
      </c>
    </row>
    <row r="191">
      <c r="A191" s="4">
        <f>IFERROR(__xludf.DUMMYFUNCTION("""COMPUTED_VALUE"""),45937.66666666667)</f>
        <v>45937.66667</v>
      </c>
      <c r="B191" s="2">
        <f>IFERROR(__xludf.DUMMYFUNCTION("""COMPUTED_VALUE"""),433.09)</f>
        <v>433.09</v>
      </c>
      <c r="C191" s="3">
        <v>407.531054681337</v>
      </c>
    </row>
    <row r="192">
      <c r="A192" s="4">
        <f>IFERROR(__xludf.DUMMYFUNCTION("""COMPUTED_VALUE"""),45938.66666666667)</f>
        <v>45938.66667</v>
      </c>
      <c r="B192" s="2">
        <f>IFERROR(__xludf.DUMMYFUNCTION("""COMPUTED_VALUE"""),438.69)</f>
        <v>438.69</v>
      </c>
      <c r="C192" s="3">
        <v>411.176144098089</v>
      </c>
    </row>
    <row r="193">
      <c r="A193" s="4">
        <f>IFERROR(__xludf.DUMMYFUNCTION("""COMPUTED_VALUE"""),45939.66666666667)</f>
        <v>45939.66667</v>
      </c>
      <c r="B193" s="2">
        <f>IFERROR(__xludf.DUMMYFUNCTION("""COMPUTED_VALUE"""),435.54)</f>
        <v>435.54</v>
      </c>
      <c r="C193" s="3">
        <v>408.477187717187</v>
      </c>
    </row>
    <row r="194">
      <c r="A194" s="4">
        <f>IFERROR(__xludf.DUMMYFUNCTION("""COMPUTED_VALUE"""),45940.66666666667)</f>
        <v>45940.66667</v>
      </c>
      <c r="B194" s="2">
        <f>IFERROR(__xludf.DUMMYFUNCTION("""COMPUTED_VALUE"""),413.49)</f>
        <v>413.49</v>
      </c>
      <c r="C194" s="3">
        <v>410.520926926172</v>
      </c>
    </row>
    <row r="195">
      <c r="A195" s="4">
        <f>IFERROR(__xludf.DUMMYFUNCTION("""COMPUTED_VALUE"""),45943.66666666667)</f>
        <v>45943.66667</v>
      </c>
      <c r="B195" s="2">
        <f>IFERROR(__xludf.DUMMYFUNCTION("""COMPUTED_VALUE"""),435.9)</f>
        <v>435.9</v>
      </c>
      <c r="C195" s="3">
        <v>413.476111479528</v>
      </c>
    </row>
    <row r="196">
      <c r="A196" s="4">
        <f>IFERROR(__xludf.DUMMYFUNCTION("""COMPUTED_VALUE"""),45944.66666666667)</f>
        <v>45944.66667</v>
      </c>
      <c r="B196" s="2">
        <f>IFERROR(__xludf.DUMMYFUNCTION("""COMPUTED_VALUE"""),429.24)</f>
        <v>429.24</v>
      </c>
      <c r="C196" s="3">
        <v>413.587822154257</v>
      </c>
    </row>
    <row r="197">
      <c r="A197" s="4">
        <f>IFERROR(__xludf.DUMMYFUNCTION("""COMPUTED_VALUE"""),45945.66666666667)</f>
        <v>45945.66667</v>
      </c>
      <c r="B197" s="2">
        <f>IFERROR(__xludf.DUMMYFUNCTION("""COMPUTED_VALUE"""),435.15)</f>
        <v>435.15</v>
      </c>
      <c r="C197" s="3">
        <v>417.091125803064</v>
      </c>
    </row>
    <row r="198">
      <c r="A198" s="4">
        <f>IFERROR(__xludf.DUMMYFUNCTION("""COMPUTED_VALUE"""),45946.66666666667)</f>
        <v>45946.66667</v>
      </c>
      <c r="B198" s="2">
        <f>IFERROR(__xludf.DUMMYFUNCTION("""COMPUTED_VALUE"""),428.75)</f>
        <v>428.75</v>
      </c>
      <c r="C198" s="3">
        <v>414.250383654226</v>
      </c>
    </row>
    <row r="199">
      <c r="A199" s="4">
        <f>IFERROR(__xludf.DUMMYFUNCTION("""COMPUTED_VALUE"""),45947.66666666667)</f>
        <v>45947.66667</v>
      </c>
      <c r="B199" s="2">
        <f>IFERROR(__xludf.DUMMYFUNCTION("""COMPUTED_VALUE"""),439.31)</f>
        <v>439.31</v>
      </c>
      <c r="C199" s="3">
        <v>416.294122863227</v>
      </c>
    </row>
    <row r="200">
      <c r="A200" s="4">
        <f>IFERROR(__xludf.DUMMYFUNCTION("""COMPUTED_VALUE"""),45950.66666666667)</f>
        <v>45950.66667</v>
      </c>
      <c r="B200" s="2">
        <f>IFERROR(__xludf.DUMMYFUNCTION("""COMPUTED_VALUE"""),447.43)</f>
        <v>447.43</v>
      </c>
      <c r="C200" s="3">
        <v>419.249307416559</v>
      </c>
    </row>
    <row r="201">
      <c r="A201" s="4">
        <f>IFERROR(__xludf.DUMMYFUNCTION("""COMPUTED_VALUE"""),45951.66666666667)</f>
        <v>45951.66667</v>
      </c>
      <c r="B201" s="2">
        <f>IFERROR(__xludf.DUMMYFUNCTION("""COMPUTED_VALUE"""),442.6)</f>
        <v>442.6</v>
      </c>
      <c r="C201" s="3">
        <v>419.361018091291</v>
      </c>
    </row>
    <row r="202">
      <c r="A202" s="4">
        <f>IFERROR(__xludf.DUMMYFUNCTION("""COMPUTED_VALUE"""),45952.66666666667)</f>
        <v>45952.66667</v>
      </c>
      <c r="B202" s="2">
        <f>IFERROR(__xludf.DUMMYFUNCTION("""COMPUTED_VALUE"""),438.97)</f>
        <v>438.97</v>
      </c>
      <c r="C202" s="3">
        <v>422.807449787116</v>
      </c>
    </row>
    <row r="203">
      <c r="A203" s="4">
        <f>IFERROR(__xludf.DUMMYFUNCTION("""COMPUTED_VALUE"""),45953.66666666667)</f>
        <v>45953.66667</v>
      </c>
      <c r="B203" s="2">
        <f>IFERROR(__xludf.DUMMYFUNCTION("""COMPUTED_VALUE"""),448.98)</f>
        <v>448.98</v>
      </c>
      <c r="C203" s="3">
        <v>419.909835685289</v>
      </c>
    </row>
    <row r="204">
      <c r="A204" s="4">
        <f>IFERROR(__xludf.DUMMYFUNCTION("""COMPUTED_VALUE"""),45954.66666666667)</f>
        <v>45954.66667</v>
      </c>
      <c r="B204" s="2">
        <f>IFERROR(__xludf.DUMMYFUNCTION("""COMPUTED_VALUE"""),433.72)</f>
        <v>433.72</v>
      </c>
      <c r="C204" s="3">
        <v>421.896702941303</v>
      </c>
    </row>
    <row r="205">
      <c r="A205" s="4">
        <f>IFERROR(__xludf.DUMMYFUNCTION("""COMPUTED_VALUE"""),45957.66666666667)</f>
        <v>45957.66667</v>
      </c>
      <c r="B205" s="2">
        <f>IFERROR(__xludf.DUMMYFUNCTION("""COMPUTED_VALUE"""),452.42)</f>
        <v>452.42</v>
      </c>
      <c r="C205" s="3">
        <v>424.6812716357</v>
      </c>
    </row>
    <row r="206">
      <c r="A206" s="4">
        <f>IFERROR(__xludf.DUMMYFUNCTION("""COMPUTED_VALUE"""),45958.66666666667)</f>
        <v>45958.66667</v>
      </c>
      <c r="B206" s="2">
        <f>IFERROR(__xludf.DUMMYFUNCTION("""COMPUTED_VALUE"""),460.55)</f>
        <v>460.55</v>
      </c>
      <c r="C206" s="3">
        <v>424.736110357442</v>
      </c>
    </row>
    <row r="207">
      <c r="A207" s="4">
        <f>IFERROR(__xludf.DUMMYFUNCTION("""COMPUTED_VALUE"""),45959.66666666667)</f>
        <v>45959.66667</v>
      </c>
      <c r="B207" s="2">
        <f>IFERROR(__xludf.DUMMYFUNCTION("""COMPUTED_VALUE"""),461.51)</f>
        <v>461.51</v>
      </c>
      <c r="C207" s="3">
        <v>428.182542053264</v>
      </c>
    </row>
    <row r="208">
      <c r="A208" s="4">
        <f>IFERROR(__xludf.DUMMYFUNCTION("""COMPUTED_VALUE"""),45960.66666666667)</f>
        <v>45960.66667</v>
      </c>
      <c r="B208" s="2">
        <f>IFERROR(__xludf.DUMMYFUNCTION("""COMPUTED_VALUE"""),440.1)</f>
        <v>440.1</v>
      </c>
      <c r="C208" s="3">
        <v>425.284927951448</v>
      </c>
    </row>
    <row r="209">
      <c r="A209" s="4">
        <f>IFERROR(__xludf.DUMMYFUNCTION("""COMPUTED_VALUE"""),45961.66666666667)</f>
        <v>45961.66667</v>
      </c>
      <c r="B209" s="2">
        <f>IFERROR(__xludf.DUMMYFUNCTION("""COMPUTED_VALUE"""),456.56)</f>
        <v>456.56</v>
      </c>
      <c r="C209" s="3">
        <v>427.271795207458</v>
      </c>
    </row>
    <row r="210">
      <c r="A210" s="4">
        <f>IFERROR(__xludf.DUMMYFUNCTION("""COMPUTED_VALUE"""),45964.66666666667)</f>
        <v>45964.66667</v>
      </c>
      <c r="B210" s="2">
        <f>IFERROR(__xludf.DUMMYFUNCTION("""COMPUTED_VALUE"""),468.37)</f>
        <v>468.37</v>
      </c>
      <c r="C210" s="3">
        <v>430.056363901844</v>
      </c>
    </row>
    <row r="211">
      <c r="A211" s="4">
        <f>IFERROR(__xludf.DUMMYFUNCTION("""COMPUTED_VALUE"""),45965.66666666667)</f>
        <v>45965.66667</v>
      </c>
      <c r="B211" s="2">
        <f>IFERROR(__xludf.DUMMYFUNCTION("""COMPUTED_VALUE"""),444.26)</f>
        <v>444.26</v>
      </c>
      <c r="C211" s="3">
        <v>430.111202623588</v>
      </c>
    </row>
    <row r="212">
      <c r="A212" s="4">
        <f>IFERROR(__xludf.DUMMYFUNCTION("""COMPUTED_VALUE"""),45966.66666666667)</f>
        <v>45966.66667</v>
      </c>
      <c r="B212" s="2">
        <f>IFERROR(__xludf.DUMMYFUNCTION("""COMPUTED_VALUE"""),462.07)</f>
        <v>462.07</v>
      </c>
      <c r="C212" s="3">
        <v>433.557634319412</v>
      </c>
    </row>
    <row r="213">
      <c r="A213" s="4">
        <f>IFERROR(__xludf.DUMMYFUNCTION("""COMPUTED_VALUE"""),45967.66666666667)</f>
        <v>45967.66667</v>
      </c>
      <c r="B213" s="2">
        <f>IFERROR(__xludf.DUMMYFUNCTION("""COMPUTED_VALUE"""),445.91)</f>
        <v>445.91</v>
      </c>
      <c r="C213" s="3">
        <v>430.660020217592</v>
      </c>
    </row>
    <row r="214">
      <c r="A214" s="4">
        <f>IFERROR(__xludf.DUMMYFUNCTION("""COMPUTED_VALUE"""),45968.66666666667)</f>
        <v>45968.66667</v>
      </c>
      <c r="B214" s="2">
        <f>IFERROR(__xludf.DUMMYFUNCTION("""COMPUTED_VALUE"""),429.52)</f>
        <v>429.52</v>
      </c>
      <c r="C214" s="3">
        <v>432.646887473599</v>
      </c>
    </row>
    <row r="215">
      <c r="A215" s="4">
        <f>IFERROR(__xludf.DUMMYFUNCTION("""COMPUTED_VALUE"""),45971.66666666667)</f>
        <v>45971.66667</v>
      </c>
      <c r="B215" s="2">
        <f>IFERROR(__xludf.DUMMYFUNCTION("""COMPUTED_VALUE"""),445.23)</f>
        <v>445.23</v>
      </c>
      <c r="C215" s="3">
        <v>435.431456168015</v>
      </c>
    </row>
    <row r="216">
      <c r="A216" s="4">
        <f>IFERROR(__xludf.DUMMYFUNCTION("""COMPUTED_VALUE"""),45972.66666666667)</f>
        <v>45972.66667</v>
      </c>
      <c r="B216" s="2">
        <f>IFERROR(__xludf.DUMMYFUNCTION("""COMPUTED_VALUE"""),439.62)</f>
        <v>439.62</v>
      </c>
      <c r="C216" s="3">
        <v>435.486294889742</v>
      </c>
    </row>
    <row r="217">
      <c r="A217" s="4">
        <f>IFERROR(__xludf.DUMMYFUNCTION("""COMPUTED_VALUE"""),45973.66666666667)</f>
        <v>45973.66667</v>
      </c>
      <c r="B217" s="2">
        <f>IFERROR(__xludf.DUMMYFUNCTION("""COMPUTED_VALUE"""),430.6)</f>
        <v>430.6</v>
      </c>
      <c r="C217" s="3">
        <v>438.932726585564</v>
      </c>
    </row>
    <row r="218">
      <c r="A218" s="4">
        <f>IFERROR(__xludf.DUMMYFUNCTION("""COMPUTED_VALUE"""),45974.66666666667)</f>
        <v>45974.66667</v>
      </c>
      <c r="B218" s="2">
        <f>IFERROR(__xludf.DUMMYFUNCTION("""COMPUTED_VALUE"""),401.99)</f>
        <v>401.99</v>
      </c>
      <c r="C218" s="3">
        <v>436.035112483739</v>
      </c>
    </row>
    <row r="219">
      <c r="A219" s="4">
        <f>IFERROR(__xludf.DUMMYFUNCTION("""COMPUTED_VALUE"""),45975.66666666667)</f>
        <v>45975.66667</v>
      </c>
      <c r="B219" s="2">
        <f>IFERROR(__xludf.DUMMYFUNCTION("""COMPUTED_VALUE"""),404.35)</f>
        <v>404.35</v>
      </c>
      <c r="C219" s="3">
        <v>438.021979739753</v>
      </c>
    </row>
    <row r="220">
      <c r="A220" s="4">
        <f>IFERROR(__xludf.DUMMYFUNCTION("""COMPUTED_VALUE"""),45978.66666666667)</f>
        <v>45978.66667</v>
      </c>
      <c r="B220" s="2">
        <f>IFERROR(__xludf.DUMMYFUNCTION("""COMPUTED_VALUE"""),408.92)</f>
        <v>408.92</v>
      </c>
      <c r="C220" s="3">
        <v>440.806548434159</v>
      </c>
    </row>
    <row r="221">
      <c r="A221" s="4">
        <f>IFERROR(__xludf.DUMMYFUNCTION("""COMPUTED_VALUE"""),45979.66666666667)</f>
        <v>45979.66667</v>
      </c>
      <c r="B221" s="2">
        <f>IFERROR(__xludf.DUMMYFUNCTION("""COMPUTED_VALUE"""),401.25)</f>
        <v>401.25</v>
      </c>
      <c r="C221" s="3">
        <v>440.861387155888</v>
      </c>
    </row>
    <row r="222">
      <c r="A222" s="4">
        <f>IFERROR(__xludf.DUMMYFUNCTION("""COMPUTED_VALUE"""),45980.66666666667)</f>
        <v>45980.66667</v>
      </c>
      <c r="B222" s="2">
        <f>IFERROR(__xludf.DUMMYFUNCTION("""COMPUTED_VALUE"""),403.99)</f>
        <v>403.99</v>
      </c>
      <c r="C222" s="3">
        <v>444.307818851712</v>
      </c>
    </row>
    <row r="223">
      <c r="A223" s="4">
        <f>IFERROR(__xludf.DUMMYFUNCTION("""COMPUTED_VALUE"""),45981.66666666667)</f>
        <v>45981.66667</v>
      </c>
      <c r="B223" s="2">
        <f>IFERROR(__xludf.DUMMYFUNCTION("""COMPUTED_VALUE"""),395.23)</f>
        <v>395.23</v>
      </c>
      <c r="C223" s="3">
        <v>441.41020474989</v>
      </c>
    </row>
    <row r="224">
      <c r="A224" s="4">
        <f>IFERROR(__xludf.DUMMYFUNCTION("""COMPUTED_VALUE"""),45982.66666666667)</f>
        <v>45982.66667</v>
      </c>
      <c r="B224" s="2">
        <f>IFERROR(__xludf.DUMMYFUNCTION("""COMPUTED_VALUE"""),391.09)</f>
        <v>391.09</v>
      </c>
      <c r="C224" s="3">
        <v>443.397072005881</v>
      </c>
    </row>
    <row r="225">
      <c r="A225" s="4">
        <f>IFERROR(__xludf.DUMMYFUNCTION("""COMPUTED_VALUE"""),45985.66666666667)</f>
        <v>45985.66667</v>
      </c>
      <c r="B225" s="2">
        <f>IFERROR(__xludf.DUMMYFUNCTION("""COMPUTED_VALUE"""),417.78)</f>
        <v>417.78</v>
      </c>
      <c r="C225" s="3">
        <v>446.181640700286</v>
      </c>
    </row>
    <row r="226">
      <c r="A226" s="4">
        <f>IFERROR(__xludf.DUMMYFUNCTION("""COMPUTED_VALUE"""),45986.66666666667)</f>
        <v>45986.66667</v>
      </c>
      <c r="B226" s="2">
        <f>IFERROR(__xludf.DUMMYFUNCTION("""COMPUTED_VALUE"""),419.4)</f>
        <v>419.4</v>
      </c>
      <c r="C226" s="3">
        <v>446.236479422042</v>
      </c>
    </row>
    <row r="227">
      <c r="A227" s="4">
        <f>IFERROR(__xludf.DUMMYFUNCTION("""COMPUTED_VALUE"""),45987.66666666667)</f>
        <v>45987.66667</v>
      </c>
      <c r="B227" s="2">
        <f>IFERROR(__xludf.DUMMYFUNCTION("""COMPUTED_VALUE"""),426.58)</f>
        <v>426.58</v>
      </c>
      <c r="C227" s="3">
        <v>449.68291111786</v>
      </c>
    </row>
    <row r="228">
      <c r="A228" s="4">
        <f>IFERROR(__xludf.DUMMYFUNCTION("""COMPUTED_VALUE"""),45989.54513888889)</f>
        <v>45989.54514</v>
      </c>
      <c r="B228" s="2">
        <f>IFERROR(__xludf.DUMMYFUNCTION("""COMPUTED_VALUE"""),430.17)</f>
        <v>430.17</v>
      </c>
      <c r="C228" s="3">
        <v>448.772164272035</v>
      </c>
    </row>
    <row r="229">
      <c r="A229" s="4">
        <f>IFERROR(__xludf.DUMMYFUNCTION("""COMPUTED_VALUE"""),45992.66666666667)</f>
        <v>45992.66667</v>
      </c>
      <c r="B229" s="2">
        <f>IFERROR(__xludf.DUMMYFUNCTION("""COMPUTED_VALUE"""),430.14)</f>
        <v>430.14</v>
      </c>
      <c r="C229" s="3">
        <v>451.556732966444</v>
      </c>
    </row>
    <row r="230">
      <c r="A230" s="4">
        <f>IFERROR(__xludf.DUMMYFUNCTION("""COMPUTED_VALUE"""),45993.66666666667)</f>
        <v>45993.66667</v>
      </c>
      <c r="B230" s="2">
        <f>IFERROR(__xludf.DUMMYFUNCTION("""COMPUTED_VALUE"""),429.24)</f>
        <v>429.24</v>
      </c>
      <c r="C230" s="3">
        <v>451.61157168818</v>
      </c>
    </row>
    <row r="231">
      <c r="A231" s="4">
        <f>IFERROR(__xludf.DUMMYFUNCTION("""COMPUTED_VALUE"""),45994.66666666667)</f>
        <v>45994.66667</v>
      </c>
      <c r="B231" s="2">
        <f>IFERROR(__xludf.DUMMYFUNCTION("""COMPUTED_VALUE"""),446.74)</f>
        <v>446.74</v>
      </c>
      <c r="C231" s="3">
        <v>455.058003384009</v>
      </c>
    </row>
    <row r="232">
      <c r="A232" s="4">
        <f>IFERROR(__xludf.DUMMYFUNCTION("""COMPUTED_VALUE"""),45995.66666666667)</f>
        <v>45995.66667</v>
      </c>
      <c r="B232" s="2">
        <f>IFERROR(__xludf.DUMMYFUNCTION("""COMPUTED_VALUE"""),454.53)</f>
        <v>454.53</v>
      </c>
      <c r="C232" s="3">
        <v>452.160389282186</v>
      </c>
    </row>
    <row r="233">
      <c r="A233" s="4">
        <f>IFERROR(__xludf.DUMMYFUNCTION("""COMPUTED_VALUE"""),45996.66666666667)</f>
        <v>45996.66667</v>
      </c>
      <c r="B233" s="2">
        <f>IFERROR(__xludf.DUMMYFUNCTION("""COMPUTED_VALUE"""),455.0)</f>
        <v>455</v>
      </c>
      <c r="C233" s="3">
        <v>454.147256538203</v>
      </c>
    </row>
    <row r="234">
      <c r="A234" s="4">
        <f>IFERROR(__xludf.DUMMYFUNCTION("""COMPUTED_VALUE"""),45999.66666666667)</f>
        <v>45999.66667</v>
      </c>
      <c r="B234" s="2">
        <f>IFERROR(__xludf.DUMMYFUNCTION("""COMPUTED_VALUE"""),439.58)</f>
        <v>439.58</v>
      </c>
      <c r="C234" s="3">
        <v>456.931825232601</v>
      </c>
    </row>
    <row r="235">
      <c r="A235" s="4">
        <f>IFERROR(__xludf.DUMMYFUNCTION("""COMPUTED_VALUE"""),46000.66666666667)</f>
        <v>46000.66667</v>
      </c>
      <c r="B235" s="2">
        <f>IFERROR(__xludf.DUMMYFUNCTION("""COMPUTED_VALUE"""),445.17)</f>
        <v>445.17</v>
      </c>
      <c r="C235" s="3">
        <v>456.986663954332</v>
      </c>
    </row>
    <row r="236">
      <c r="A236" s="4">
        <f>IFERROR(__xludf.DUMMYFUNCTION("""COMPUTED_VALUE"""),46001.66666666667)</f>
        <v>46001.66667</v>
      </c>
      <c r="B236" s="2">
        <f>IFERROR(__xludf.DUMMYFUNCTION("""COMPUTED_VALUE"""),451.45)</f>
        <v>451.45</v>
      </c>
      <c r="C236" s="3">
        <v>460.43309565016</v>
      </c>
    </row>
    <row r="237">
      <c r="A237" s="4">
        <f>IFERROR(__xludf.DUMMYFUNCTION("""COMPUTED_VALUE"""),46002.66666666667)</f>
        <v>46002.66667</v>
      </c>
      <c r="B237" s="2">
        <f>IFERROR(__xludf.DUMMYFUNCTION("""COMPUTED_VALUE"""),446.89)</f>
        <v>446.89</v>
      </c>
      <c r="C237" s="3">
        <v>457.535481548329</v>
      </c>
    </row>
    <row r="238">
      <c r="A238" s="4">
        <f>IFERROR(__xludf.DUMMYFUNCTION("""COMPUTED_VALUE"""),46003.66666666667)</f>
        <v>46003.66667</v>
      </c>
      <c r="B238" s="2">
        <f>IFERROR(__xludf.DUMMYFUNCTION("""COMPUTED_VALUE"""),458.96)</f>
        <v>458.96</v>
      </c>
      <c r="C238" s="3">
        <v>459.522348804344</v>
      </c>
    </row>
    <row r="239">
      <c r="A239" s="4">
        <f>IFERROR(__xludf.DUMMYFUNCTION("""COMPUTED_VALUE"""),46006.66666666667)</f>
        <v>46006.66667</v>
      </c>
      <c r="B239" s="2">
        <f>IFERROR(__xludf.DUMMYFUNCTION("""COMPUTED_VALUE"""),475.31)</f>
        <v>475.31</v>
      </c>
      <c r="C239" s="3">
        <v>462.306917498745</v>
      </c>
    </row>
    <row r="240">
      <c r="A240" s="4">
        <f>IFERROR(__xludf.DUMMYFUNCTION("""COMPUTED_VALUE"""),46007.66666666667)</f>
        <v>46007.66667</v>
      </c>
      <c r="B240" s="2">
        <f>IFERROR(__xludf.DUMMYFUNCTION("""COMPUTED_VALUE"""),489.88)</f>
        <v>489.88</v>
      </c>
      <c r="C240" s="3">
        <v>462.361756220478</v>
      </c>
    </row>
    <row r="241">
      <c r="A241" s="4">
        <f>IFERROR(__xludf.DUMMYFUNCTION("""COMPUTED_VALUE"""),46008.66666666667)</f>
        <v>46008.66667</v>
      </c>
      <c r="B241" s="2">
        <f>IFERROR(__xludf.DUMMYFUNCTION("""COMPUTED_VALUE"""),467.26)</f>
        <v>467.26</v>
      </c>
      <c r="C241" s="3">
        <v>465.808187916308</v>
      </c>
    </row>
    <row r="242">
      <c r="A242" s="4">
        <f>IFERROR(__xludf.DUMMYFUNCTION("""COMPUTED_VALUE"""),46009.66666666667)</f>
        <v>46009.66667</v>
      </c>
      <c r="B242" s="2">
        <f>IFERROR(__xludf.DUMMYFUNCTION("""COMPUTED_VALUE"""),483.37)</f>
        <v>483.37</v>
      </c>
      <c r="C242" s="3">
        <v>462.910573814481</v>
      </c>
    </row>
    <row r="243">
      <c r="A243" s="4">
        <f>IFERROR(__xludf.DUMMYFUNCTION("""COMPUTED_VALUE"""),46010.66666666667)</f>
        <v>46010.66667</v>
      </c>
      <c r="B243" s="2">
        <f>IFERROR(__xludf.DUMMYFUNCTION("""COMPUTED_VALUE"""),481.2)</f>
        <v>481.2</v>
      </c>
      <c r="C243" s="3">
        <v>464.897441070485</v>
      </c>
    </row>
    <row r="244">
      <c r="A244" s="4">
        <f>IFERROR(__xludf.DUMMYFUNCTION("""COMPUTED_VALUE"""),46013.66666666667)</f>
        <v>46013.66667</v>
      </c>
      <c r="B244" s="2">
        <f>IFERROR(__xludf.DUMMYFUNCTION("""COMPUTED_VALUE"""),488.73)</f>
        <v>488.73</v>
      </c>
      <c r="C244" s="3">
        <v>467.682009764889</v>
      </c>
    </row>
    <row r="245">
      <c r="A245" s="4">
        <f>IFERROR(__xludf.DUMMYFUNCTION("""COMPUTED_VALUE"""),46014.66666666667)</f>
        <v>46014.66667</v>
      </c>
      <c r="B245" s="2">
        <f>IFERROR(__xludf.DUMMYFUNCTION("""COMPUTED_VALUE"""),485.56)</f>
        <v>485.56</v>
      </c>
      <c r="C245" s="3">
        <v>467.736848486632</v>
      </c>
    </row>
    <row r="246">
      <c r="A246" s="4">
        <f>IFERROR(__xludf.DUMMYFUNCTION("""COMPUTED_VALUE"""),46015.54513888889)</f>
        <v>46015.54514</v>
      </c>
      <c r="B246" s="2">
        <f>IFERROR(__xludf.DUMMYFUNCTION("""COMPUTED_VALUE"""),485.4)</f>
        <v>485.4</v>
      </c>
      <c r="C246" s="3">
        <v>471.183280182457</v>
      </c>
    </row>
    <row r="247">
      <c r="A247" s="4">
        <f>IFERROR(__xludf.DUMMYFUNCTION("""COMPUTED_VALUE"""),46017.66666666667)</f>
        <v>46017.66667</v>
      </c>
      <c r="B247" s="2">
        <f>IFERROR(__xludf.DUMMYFUNCTION("""COMPUTED_VALUE"""),475.19)</f>
        <v>475.19</v>
      </c>
      <c r="C247" s="3">
        <v>470.272533336652</v>
      </c>
    </row>
    <row r="248">
      <c r="A248" s="4">
        <f>IFERROR(__xludf.DUMMYFUNCTION("""COMPUTED_VALUE"""),46020.66666666667)</f>
        <v>46020.66667</v>
      </c>
      <c r="B248" s="2">
        <f>IFERROR(__xludf.DUMMYFUNCTION("""COMPUTED_VALUE"""),459.64)</f>
        <v>459.64</v>
      </c>
      <c r="C248" s="3">
        <v>473.057102031046</v>
      </c>
    </row>
    <row r="249">
      <c r="A249" s="4">
        <f>IFERROR(__xludf.DUMMYFUNCTION("""COMPUTED_VALUE"""),46021.66666666667)</f>
        <v>46021.66667</v>
      </c>
      <c r="B249" s="2">
        <f>IFERROR(__xludf.DUMMYFUNCTION("""COMPUTED_VALUE"""),454.43)</f>
        <v>454.43</v>
      </c>
      <c r="C249" s="3">
        <v>473.111940752778</v>
      </c>
    </row>
    <row r="250">
      <c r="A250" s="4">
        <f>IFERROR(__xludf.DUMMYFUNCTION("""COMPUTED_VALUE"""),46022.66666666667)</f>
        <v>46022.66667</v>
      </c>
      <c r="B250" s="2">
        <f>IFERROR(__xludf.DUMMYFUNCTION("""COMPUTED_VALUE"""),449.72)</f>
        <v>449.72</v>
      </c>
      <c r="C250" s="3">
        <v>476.558372448605</v>
      </c>
    </row>
    <row r="251">
      <c r="A251" s="4">
        <f>IFERROR(__xludf.DUMMYFUNCTION("""COMPUTED_VALUE"""),46024.66666666667)</f>
        <v>46024.66667</v>
      </c>
      <c r="B251" s="2">
        <f>IFERROR(__xludf.DUMMYFUNCTION("""COMPUTED_VALUE"""),438.07)</f>
        <v>438.07</v>
      </c>
      <c r="C251" s="3">
        <v>475.647625602793</v>
      </c>
    </row>
    <row r="252">
      <c r="A252" s="4"/>
      <c r="C252" s="3">
        <v>466.683763431832</v>
      </c>
    </row>
    <row r="253">
      <c r="A253" s="4"/>
      <c r="C253" s="3">
        <v>467.451633830632</v>
      </c>
    </row>
    <row r="254">
      <c r="A254" s="4"/>
      <c r="C254" s="3">
        <v>478.432194297201</v>
      </c>
    </row>
    <row r="255">
      <c r="A255" s="4"/>
      <c r="C255" s="3">
        <v>478.487033018929</v>
      </c>
    </row>
    <row r="256">
      <c r="A256" s="4"/>
      <c r="C256" s="3">
        <v>481.933464714753</v>
      </c>
    </row>
    <row r="257">
      <c r="A257" s="4"/>
      <c r="C257" s="3">
        <v>479.035850612923</v>
      </c>
    </row>
    <row r="258">
      <c r="A258" s="4"/>
      <c r="C258" s="3">
        <v>481.022717868948</v>
      </c>
    </row>
    <row r="259">
      <c r="A259" s="4"/>
      <c r="C259" s="3">
        <v>472.058855697981</v>
      </c>
    </row>
    <row r="260">
      <c r="A260" s="4"/>
      <c r="C260" s="3">
        <v>472.826726096799</v>
      </c>
    </row>
    <row r="261">
      <c r="A261" s="4"/>
      <c r="C261" s="3">
        <v>483.807286563345</v>
      </c>
    </row>
    <row r="262">
      <c r="A262" s="4"/>
      <c r="C262" s="3">
        <v>483.862125285075</v>
      </c>
    </row>
    <row r="263">
      <c r="A263" s="4"/>
      <c r="C263" s="3">
        <v>487.308556980902</v>
      </c>
    </row>
    <row r="264">
      <c r="A264" s="4"/>
      <c r="C264" s="3">
        <v>484.410942879082</v>
      </c>
    </row>
    <row r="265">
      <c r="A265" s="4"/>
      <c r="C265" s="3">
        <v>486.397810135075</v>
      </c>
    </row>
    <row r="266">
      <c r="A266" s="4"/>
      <c r="C266" s="3">
        <v>477.433947964153</v>
      </c>
    </row>
    <row r="267">
      <c r="A267" s="4"/>
      <c r="C267" s="3">
        <v>478.201818362948</v>
      </c>
    </row>
    <row r="268">
      <c r="A268" s="4"/>
      <c r="C268" s="3">
        <v>489.182378829488</v>
      </c>
    </row>
    <row r="269">
      <c r="A269" s="4"/>
      <c r="C269" s="3">
        <v>489.237217551229</v>
      </c>
    </row>
    <row r="270">
      <c r="A270" s="4"/>
      <c r="C270" s="3">
        <v>492.68364924705</v>
      </c>
    </row>
    <row r="271">
      <c r="A271" s="4"/>
      <c r="C271" s="3">
        <v>489.786035145222</v>
      </c>
    </row>
    <row r="272">
      <c r="A272" s="4"/>
      <c r="C272" s="3">
        <v>491.77290240123</v>
      </c>
    </row>
    <row r="273">
      <c r="A273" s="4"/>
      <c r="C273" s="3">
        <v>482.809040230301</v>
      </c>
    </row>
    <row r="274">
      <c r="A274" s="4"/>
      <c r="C274" s="3">
        <v>483.576910629115</v>
      </c>
    </row>
    <row r="275">
      <c r="A275" s="4"/>
      <c r="C275" s="3">
        <v>494.557471095646</v>
      </c>
    </row>
    <row r="276">
      <c r="A276" s="4"/>
      <c r="C276" s="3">
        <v>494.612309817368</v>
      </c>
    </row>
    <row r="277">
      <c r="A277" s="4"/>
      <c r="C277" s="3">
        <v>498.058741513201</v>
      </c>
    </row>
    <row r="278">
      <c r="A278" s="4"/>
      <c r="C278" s="3">
        <v>495.161127411381</v>
      </c>
    </row>
    <row r="279">
      <c r="A279" s="4"/>
      <c r="C279" s="3">
        <v>497.147994667384</v>
      </c>
    </row>
    <row r="280">
      <c r="A280" s="4"/>
      <c r="C280" s="3">
        <v>488.184132496433</v>
      </c>
    </row>
    <row r="281">
      <c r="A281" s="4"/>
      <c r="C281" s="3">
        <v>488.952002895264</v>
      </c>
    </row>
    <row r="282">
      <c r="A282" s="4"/>
      <c r="C282" s="5"/>
    </row>
    <row r="283">
      <c r="A283" s="4"/>
      <c r="C283" s="5"/>
    </row>
    <row r="284">
      <c r="A284" s="4"/>
      <c r="C284" s="5"/>
    </row>
    <row r="285">
      <c r="A285" s="4"/>
      <c r="C285" s="5"/>
    </row>
    <row r="286">
      <c r="A286" s="4"/>
      <c r="C286" s="5"/>
    </row>
    <row r="287">
      <c r="A287" s="4"/>
      <c r="C287" s="5"/>
    </row>
    <row r="288">
      <c r="A288" s="4"/>
      <c r="C288" s="5"/>
    </row>
    <row r="289">
      <c r="A289" s="4"/>
      <c r="C289" s="5"/>
    </row>
    <row r="290">
      <c r="A290" s="4"/>
      <c r="C290" s="5"/>
    </row>
    <row r="291">
      <c r="A291" s="4"/>
      <c r="C291" s="5"/>
    </row>
    <row r="292">
      <c r="A292" s="4"/>
      <c r="C292" s="5"/>
    </row>
    <row r="293">
      <c r="A293" s="4"/>
      <c r="C293" s="5"/>
    </row>
    <row r="294">
      <c r="A294" s="4"/>
      <c r="C294" s="5"/>
    </row>
    <row r="295">
      <c r="A295" s="4"/>
      <c r="C295" s="5"/>
    </row>
    <row r="296">
      <c r="A296" s="4"/>
      <c r="C296" s="5"/>
    </row>
    <row r="297">
      <c r="A297" s="4"/>
      <c r="C297" s="5"/>
    </row>
    <row r="298">
      <c r="A298" s="4"/>
      <c r="C298" s="5"/>
    </row>
    <row r="299">
      <c r="A299" s="4"/>
      <c r="C299" s="5"/>
    </row>
    <row r="300">
      <c r="A300" s="4"/>
      <c r="C300" s="5"/>
    </row>
    <row r="301">
      <c r="A301" s="4"/>
      <c r="C301" s="5"/>
    </row>
    <row r="302">
      <c r="A302" s="4"/>
      <c r="C302" s="5"/>
    </row>
    <row r="303">
      <c r="A303" s="4"/>
      <c r="C303" s="5"/>
    </row>
    <row r="304">
      <c r="A304" s="4"/>
      <c r="C304" s="5"/>
    </row>
    <row r="305">
      <c r="A305" s="4"/>
      <c r="C305" s="5"/>
    </row>
    <row r="306">
      <c r="A306" s="4"/>
      <c r="C306" s="5"/>
    </row>
    <row r="307">
      <c r="A307" s="4"/>
      <c r="C307" s="5"/>
    </row>
    <row r="308">
      <c r="A308" s="4"/>
      <c r="C308" s="5"/>
    </row>
    <row r="309">
      <c r="A309" s="4"/>
      <c r="C309" s="5"/>
    </row>
    <row r="310">
      <c r="A310" s="4"/>
      <c r="C310" s="5"/>
    </row>
    <row r="311">
      <c r="A311" s="4"/>
      <c r="C311" s="5"/>
    </row>
    <row r="312">
      <c r="A312" s="4"/>
      <c r="C312" s="5"/>
    </row>
    <row r="313">
      <c r="A313" s="4"/>
      <c r="C313" s="5"/>
    </row>
    <row r="314">
      <c r="A314" s="4"/>
      <c r="C314" s="5"/>
    </row>
    <row r="315">
      <c r="A315" s="4"/>
      <c r="C315" s="5"/>
    </row>
    <row r="316">
      <c r="A316" s="4"/>
      <c r="C316" s="5"/>
    </row>
    <row r="317">
      <c r="A317" s="4"/>
      <c r="C317" s="5"/>
    </row>
    <row r="318">
      <c r="A318" s="4"/>
      <c r="C318" s="5"/>
    </row>
    <row r="319">
      <c r="A319" s="4"/>
      <c r="C319" s="5"/>
    </row>
    <row r="320">
      <c r="A320" s="4"/>
      <c r="C320" s="5"/>
    </row>
    <row r="321">
      <c r="A321" s="4"/>
      <c r="C321" s="5"/>
    </row>
    <row r="322">
      <c r="A322" s="4"/>
      <c r="C322" s="5"/>
    </row>
    <row r="323">
      <c r="A323" s="4"/>
      <c r="C323" s="5"/>
    </row>
    <row r="324">
      <c r="A324" s="4"/>
      <c r="C324" s="5"/>
    </row>
    <row r="325">
      <c r="A325" s="4"/>
      <c r="C325" s="5"/>
    </row>
    <row r="326">
      <c r="A326" s="4"/>
      <c r="C326" s="5"/>
    </row>
    <row r="327">
      <c r="A327" s="4"/>
      <c r="C327" s="5"/>
    </row>
    <row r="328">
      <c r="A328" s="4"/>
      <c r="C328" s="5"/>
    </row>
    <row r="329">
      <c r="A329" s="4"/>
      <c r="C329" s="5"/>
    </row>
    <row r="330">
      <c r="A330" s="4"/>
      <c r="C330" s="5"/>
    </row>
    <row r="331">
      <c r="A331" s="4"/>
      <c r="C331" s="5"/>
    </row>
    <row r="332">
      <c r="A332" s="4"/>
      <c r="C332" s="5"/>
    </row>
    <row r="333">
      <c r="A333" s="4"/>
      <c r="C333" s="5"/>
    </row>
    <row r="334">
      <c r="A334" s="4"/>
      <c r="C334" s="5"/>
    </row>
    <row r="335">
      <c r="A335" s="4"/>
      <c r="C335" s="5"/>
    </row>
    <row r="336">
      <c r="A336" s="4"/>
      <c r="C336" s="5"/>
    </row>
    <row r="337">
      <c r="A337" s="4"/>
      <c r="C337" s="5"/>
    </row>
    <row r="338">
      <c r="A338" s="4"/>
      <c r="C338" s="5"/>
    </row>
    <row r="339">
      <c r="A339" s="4"/>
      <c r="C339" s="5"/>
    </row>
    <row r="340">
      <c r="A340" s="4"/>
      <c r="C340" s="5"/>
    </row>
    <row r="341">
      <c r="A341" s="4"/>
      <c r="C341" s="5"/>
    </row>
    <row r="342">
      <c r="A342" s="4"/>
      <c r="C342" s="5"/>
    </row>
    <row r="343">
      <c r="A343" s="4"/>
      <c r="C343" s="5"/>
    </row>
    <row r="344">
      <c r="A344" s="4"/>
      <c r="C344" s="5"/>
    </row>
    <row r="345">
      <c r="A345" s="4"/>
      <c r="C345" s="5"/>
    </row>
    <row r="346">
      <c r="A346" s="4"/>
      <c r="C346" s="5"/>
    </row>
    <row r="347">
      <c r="A347" s="4"/>
      <c r="C347" s="5"/>
    </row>
    <row r="348">
      <c r="A348" s="4"/>
      <c r="C348" s="5"/>
    </row>
    <row r="349">
      <c r="A349" s="4"/>
      <c r="C349" s="5"/>
    </row>
    <row r="350">
      <c r="A350" s="4"/>
      <c r="C350" s="5"/>
    </row>
    <row r="351">
      <c r="A351" s="4"/>
      <c r="C351" s="5"/>
    </row>
    <row r="352">
      <c r="A352" s="4"/>
      <c r="C352" s="5"/>
    </row>
    <row r="353">
      <c r="A353" s="4"/>
      <c r="C353" s="5"/>
    </row>
    <row r="354">
      <c r="A354" s="4"/>
      <c r="C354" s="5"/>
    </row>
    <row r="355">
      <c r="A355" s="4"/>
      <c r="C355" s="5"/>
    </row>
    <row r="356">
      <c r="A356" s="4"/>
      <c r="C356" s="5"/>
    </row>
    <row r="357">
      <c r="A357" s="4"/>
      <c r="C357" s="5"/>
    </row>
    <row r="358">
      <c r="A358" s="4"/>
      <c r="C358" s="5"/>
    </row>
    <row r="359">
      <c r="A359" s="4"/>
      <c r="C359" s="5"/>
    </row>
    <row r="360">
      <c r="A360" s="4"/>
      <c r="C360" s="5"/>
    </row>
    <row r="361">
      <c r="A361" s="4"/>
      <c r="C361" s="5"/>
    </row>
    <row r="362">
      <c r="A362" s="4"/>
      <c r="C362" s="5"/>
    </row>
    <row r="363">
      <c r="A363" s="4"/>
      <c r="C363" s="5"/>
    </row>
    <row r="364">
      <c r="A364" s="4"/>
      <c r="C364" s="5"/>
    </row>
    <row r="365">
      <c r="A365" s="4"/>
      <c r="C365" s="5"/>
    </row>
    <row r="366">
      <c r="A366" s="4"/>
      <c r="C366" s="5"/>
    </row>
    <row r="367">
      <c r="A367" s="4"/>
      <c r="C367" s="5"/>
    </row>
    <row r="368">
      <c r="A368" s="4"/>
      <c r="C368" s="5"/>
    </row>
    <row r="369">
      <c r="A369" s="4"/>
      <c r="C369" s="5"/>
    </row>
    <row r="370">
      <c r="A370" s="4"/>
      <c r="C370" s="5"/>
    </row>
    <row r="371">
      <c r="A371" s="4"/>
      <c r="C371" s="5"/>
    </row>
    <row r="372">
      <c r="A372" s="4"/>
      <c r="C372" s="5"/>
    </row>
    <row r="373">
      <c r="A373" s="4"/>
      <c r="C373" s="5"/>
    </row>
    <row r="374">
      <c r="A374" s="4"/>
      <c r="C374" s="5"/>
    </row>
    <row r="375">
      <c r="A375" s="4"/>
      <c r="C375" s="5"/>
    </row>
    <row r="376">
      <c r="A376" s="4"/>
      <c r="C376" s="5"/>
    </row>
    <row r="377">
      <c r="A377" s="4"/>
      <c r="C377" s="5"/>
    </row>
    <row r="378">
      <c r="A378" s="4"/>
      <c r="C378" s="5"/>
    </row>
    <row r="379">
      <c r="A379" s="4"/>
      <c r="C379" s="5"/>
    </row>
    <row r="380">
      <c r="A380" s="4"/>
      <c r="C380" s="5"/>
    </row>
    <row r="381">
      <c r="A381" s="4"/>
      <c r="C381" s="5"/>
    </row>
    <row r="382">
      <c r="A382" s="4"/>
      <c r="C382" s="5"/>
    </row>
    <row r="383">
      <c r="A383" s="4"/>
      <c r="C383" s="5"/>
    </row>
    <row r="384">
      <c r="A384" s="4"/>
      <c r="C384" s="5"/>
    </row>
    <row r="385">
      <c r="A385" s="4"/>
      <c r="C385" s="5"/>
    </row>
    <row r="386">
      <c r="A386" s="4"/>
      <c r="C386" s="5"/>
    </row>
    <row r="387">
      <c r="A387" s="4"/>
      <c r="C387" s="5"/>
    </row>
    <row r="388">
      <c r="A388" s="4"/>
      <c r="C388" s="5"/>
    </row>
    <row r="389">
      <c r="A389" s="4"/>
      <c r="C389" s="5"/>
    </row>
    <row r="390">
      <c r="A390" s="4"/>
      <c r="C390" s="5"/>
    </row>
    <row r="391">
      <c r="A391" s="4"/>
      <c r="C391" s="5"/>
    </row>
    <row r="392">
      <c r="A392" s="4"/>
      <c r="C392" s="5"/>
    </row>
    <row r="393">
      <c r="A393" s="4"/>
      <c r="C393" s="5"/>
    </row>
    <row r="394">
      <c r="A394" s="4"/>
      <c r="C394" s="5"/>
    </row>
    <row r="395">
      <c r="A395" s="4"/>
      <c r="C395" s="5"/>
    </row>
    <row r="396">
      <c r="A396" s="4"/>
      <c r="C396" s="5"/>
    </row>
    <row r="397">
      <c r="A397" s="4"/>
      <c r="C397" s="5"/>
    </row>
    <row r="398">
      <c r="A398" s="4"/>
      <c r="C398" s="5"/>
    </row>
    <row r="399">
      <c r="A399" s="4"/>
      <c r="C399" s="5"/>
    </row>
    <row r="400">
      <c r="A400" s="4"/>
      <c r="C400" s="5"/>
    </row>
    <row r="401">
      <c r="A401" s="4"/>
      <c r="C401" s="5"/>
    </row>
    <row r="402">
      <c r="A402" s="4"/>
      <c r="C402" s="5"/>
    </row>
    <row r="403">
      <c r="A403" s="4"/>
      <c r="C403" s="5"/>
    </row>
    <row r="404">
      <c r="A404" s="4"/>
      <c r="C404" s="5"/>
    </row>
    <row r="405">
      <c r="A405" s="4"/>
      <c r="C405" s="5"/>
    </row>
    <row r="406">
      <c r="A406" s="4"/>
      <c r="C406" s="5"/>
    </row>
    <row r="407">
      <c r="A407" s="4"/>
      <c r="C407" s="5"/>
    </row>
    <row r="408">
      <c r="A408" s="4"/>
      <c r="C408" s="5"/>
    </row>
    <row r="409">
      <c r="A409" s="4"/>
      <c r="C409" s="5"/>
    </row>
    <row r="410">
      <c r="A410" s="4"/>
      <c r="C410" s="5"/>
    </row>
    <row r="411">
      <c r="A411" s="4"/>
      <c r="C411" s="5"/>
    </row>
    <row r="412">
      <c r="A412" s="4"/>
      <c r="C412" s="5"/>
    </row>
    <row r="413">
      <c r="A413" s="4"/>
      <c r="C413" s="5"/>
    </row>
    <row r="414">
      <c r="A414" s="4"/>
      <c r="C414" s="5"/>
    </row>
    <row r="415">
      <c r="A415" s="4"/>
      <c r="C415" s="5"/>
    </row>
    <row r="416">
      <c r="A416" s="4"/>
      <c r="C416" s="5"/>
    </row>
    <row r="417">
      <c r="A417" s="4"/>
      <c r="C417" s="5"/>
    </row>
    <row r="418">
      <c r="A418" s="4"/>
      <c r="C418" s="5"/>
    </row>
    <row r="419">
      <c r="A419" s="4"/>
      <c r="C419" s="5"/>
    </row>
    <row r="420">
      <c r="A420" s="4"/>
      <c r="C420" s="5"/>
    </row>
    <row r="421">
      <c r="A421" s="4"/>
      <c r="C421" s="5"/>
    </row>
    <row r="422">
      <c r="A422" s="4"/>
      <c r="C422" s="5"/>
    </row>
    <row r="423">
      <c r="A423" s="4"/>
      <c r="C423" s="5"/>
    </row>
    <row r="424">
      <c r="A424" s="4"/>
      <c r="C424" s="5"/>
    </row>
    <row r="425">
      <c r="A425" s="4"/>
      <c r="C425" s="5"/>
    </row>
    <row r="426">
      <c r="A426" s="4"/>
      <c r="C426" s="5"/>
    </row>
    <row r="427">
      <c r="A427" s="4"/>
      <c r="C427" s="5"/>
    </row>
    <row r="428">
      <c r="A428" s="4"/>
      <c r="C428" s="5"/>
    </row>
    <row r="429">
      <c r="A429" s="4"/>
      <c r="C429" s="5"/>
    </row>
    <row r="430">
      <c r="A430" s="4"/>
      <c r="C430" s="5"/>
    </row>
    <row r="431">
      <c r="A431" s="4"/>
      <c r="C431" s="5"/>
    </row>
    <row r="432">
      <c r="A432" s="4"/>
      <c r="C432" s="5"/>
    </row>
    <row r="433">
      <c r="A433" s="4"/>
      <c r="C433" s="5"/>
    </row>
    <row r="434">
      <c r="A434" s="4"/>
      <c r="C434" s="5"/>
    </row>
    <row r="435">
      <c r="A435" s="4"/>
      <c r="C435" s="5"/>
    </row>
    <row r="436">
      <c r="A436" s="4"/>
      <c r="C436" s="5"/>
    </row>
    <row r="437">
      <c r="A437" s="4"/>
      <c r="C437" s="5"/>
    </row>
    <row r="438">
      <c r="A438" s="4"/>
      <c r="C438" s="5"/>
    </row>
    <row r="439">
      <c r="A439" s="4"/>
      <c r="C439" s="5"/>
    </row>
    <row r="440">
      <c r="A440" s="4"/>
      <c r="C440" s="5"/>
    </row>
    <row r="441">
      <c r="A441" s="4"/>
      <c r="C441" s="5"/>
    </row>
    <row r="442">
      <c r="A442" s="4"/>
      <c r="C442" s="5"/>
    </row>
    <row r="443">
      <c r="A443" s="4"/>
      <c r="C443" s="5"/>
    </row>
    <row r="444">
      <c r="A444" s="4"/>
      <c r="C444" s="5"/>
    </row>
    <row r="445">
      <c r="A445" s="4"/>
      <c r="C445" s="5"/>
    </row>
    <row r="446">
      <c r="A446" s="4"/>
      <c r="C446" s="5"/>
    </row>
    <row r="447">
      <c r="A447" s="4"/>
      <c r="C447" s="5"/>
    </row>
    <row r="448">
      <c r="A448" s="4"/>
      <c r="C448" s="5"/>
    </row>
    <row r="449">
      <c r="A449" s="4"/>
      <c r="C449" s="5"/>
    </row>
    <row r="450">
      <c r="A450" s="4"/>
      <c r="C450" s="5"/>
    </row>
    <row r="451">
      <c r="A451" s="4"/>
      <c r="C451" s="5"/>
    </row>
    <row r="452">
      <c r="A452" s="4"/>
      <c r="C452" s="5"/>
    </row>
    <row r="453">
      <c r="A453" s="4"/>
      <c r="C453" s="5"/>
    </row>
    <row r="454">
      <c r="A454" s="4"/>
      <c r="C454" s="5"/>
    </row>
    <row r="455">
      <c r="A455" s="4"/>
      <c r="C455" s="5"/>
    </row>
    <row r="456">
      <c r="A456" s="4"/>
      <c r="C456" s="5"/>
    </row>
    <row r="457">
      <c r="A457" s="4"/>
      <c r="C457" s="5"/>
    </row>
    <row r="458">
      <c r="A458" s="4"/>
      <c r="C458" s="5"/>
    </row>
    <row r="459">
      <c r="A459" s="4"/>
      <c r="C459" s="5"/>
    </row>
    <row r="460">
      <c r="A460" s="4"/>
      <c r="C460" s="5"/>
    </row>
    <row r="461">
      <c r="A461" s="4"/>
      <c r="C461" s="5"/>
    </row>
    <row r="462">
      <c r="A462" s="4"/>
      <c r="C462" s="5"/>
    </row>
    <row r="463">
      <c r="A463" s="4"/>
      <c r="C463" s="5"/>
    </row>
    <row r="464">
      <c r="A464" s="4"/>
      <c r="C464" s="5"/>
    </row>
    <row r="465">
      <c r="A465" s="4"/>
      <c r="C465" s="5"/>
    </row>
    <row r="466">
      <c r="A466" s="4"/>
      <c r="C466" s="5"/>
    </row>
    <row r="467">
      <c r="A467" s="4"/>
      <c r="C467" s="5"/>
    </row>
    <row r="468">
      <c r="A468" s="4"/>
      <c r="C468" s="5"/>
    </row>
    <row r="469">
      <c r="A469" s="4"/>
      <c r="C469" s="5"/>
    </row>
    <row r="470">
      <c r="A470" s="4"/>
      <c r="C470" s="5"/>
    </row>
    <row r="471">
      <c r="A471" s="4"/>
      <c r="C471" s="5"/>
    </row>
    <row r="472">
      <c r="A472" s="4"/>
      <c r="C472" s="5"/>
    </row>
    <row r="473">
      <c r="A473" s="4"/>
      <c r="C473" s="5"/>
    </row>
    <row r="474">
      <c r="A474" s="4"/>
      <c r="C474" s="5"/>
    </row>
    <row r="475">
      <c r="A475" s="4"/>
      <c r="C475" s="5"/>
    </row>
    <row r="476">
      <c r="A476" s="4"/>
      <c r="C476" s="5"/>
    </row>
    <row r="477">
      <c r="A477" s="4"/>
      <c r="C477" s="5"/>
    </row>
    <row r="478">
      <c r="A478" s="4"/>
      <c r="C478" s="5"/>
    </row>
    <row r="479">
      <c r="A479" s="4"/>
      <c r="C479" s="5"/>
    </row>
    <row r="480">
      <c r="A480" s="4"/>
      <c r="C480" s="5"/>
    </row>
    <row r="481">
      <c r="A481" s="4"/>
      <c r="C481" s="5"/>
    </row>
    <row r="482">
      <c r="A482" s="4"/>
      <c r="C482" s="5"/>
    </row>
    <row r="483">
      <c r="A483" s="4"/>
      <c r="C483" s="5"/>
    </row>
    <row r="484">
      <c r="A484" s="4"/>
      <c r="C484" s="5"/>
    </row>
    <row r="485">
      <c r="A485" s="4"/>
      <c r="C485" s="5"/>
    </row>
    <row r="486">
      <c r="A486" s="4"/>
      <c r="C486" s="5"/>
    </row>
    <row r="487">
      <c r="A487" s="4"/>
      <c r="C487" s="5"/>
    </row>
    <row r="488">
      <c r="A488" s="4"/>
      <c r="C488" s="5"/>
    </row>
    <row r="489">
      <c r="A489" s="4"/>
      <c r="C489" s="5"/>
    </row>
    <row r="490">
      <c r="A490" s="4"/>
      <c r="C490" s="5"/>
    </row>
    <row r="491">
      <c r="A491" s="4"/>
      <c r="C491" s="5"/>
    </row>
    <row r="492">
      <c r="A492" s="4"/>
      <c r="C492" s="5"/>
    </row>
    <row r="493">
      <c r="A493" s="4"/>
      <c r="C493" s="5"/>
    </row>
    <row r="494">
      <c r="A494" s="4"/>
      <c r="C494" s="5"/>
    </row>
    <row r="495">
      <c r="A495" s="4"/>
      <c r="C495" s="5"/>
    </row>
    <row r="496">
      <c r="A496" s="4"/>
      <c r="C496" s="5"/>
    </row>
    <row r="497">
      <c r="A497" s="4"/>
      <c r="C497" s="5"/>
    </row>
    <row r="498">
      <c r="A498" s="4"/>
      <c r="C498" s="5"/>
    </row>
    <row r="499">
      <c r="A499" s="4"/>
      <c r="C499" s="5"/>
    </row>
    <row r="500">
      <c r="A500" s="4"/>
      <c r="C500" s="5"/>
    </row>
    <row r="501">
      <c r="A501" s="4"/>
      <c r="C501" s="5"/>
    </row>
    <row r="502">
      <c r="A502" s="4"/>
      <c r="C502" s="5"/>
    </row>
    <row r="503">
      <c r="A503" s="4"/>
      <c r="C503" s="5"/>
    </row>
    <row r="504">
      <c r="A504" s="4"/>
      <c r="C504" s="5"/>
    </row>
    <row r="505">
      <c r="A505" s="4"/>
      <c r="C505" s="5"/>
    </row>
    <row r="506">
      <c r="A506" s="4"/>
      <c r="C506" s="5"/>
    </row>
    <row r="507">
      <c r="A507" s="4"/>
      <c r="C507" s="5"/>
    </row>
    <row r="508">
      <c r="A508" s="4"/>
      <c r="C508" s="5"/>
    </row>
    <row r="509">
      <c r="A509" s="4"/>
      <c r="C509" s="5"/>
    </row>
    <row r="510">
      <c r="A510" s="4"/>
      <c r="C510" s="5"/>
    </row>
    <row r="511">
      <c r="A511" s="4"/>
      <c r="C511" s="5"/>
    </row>
    <row r="512">
      <c r="A512" s="4"/>
      <c r="C512" s="5"/>
    </row>
    <row r="513">
      <c r="A513" s="4"/>
      <c r="C513" s="5"/>
    </row>
    <row r="514">
      <c r="A514" s="4"/>
      <c r="C514" s="5"/>
    </row>
    <row r="515">
      <c r="A515" s="4"/>
      <c r="C515" s="5"/>
    </row>
    <row r="516">
      <c r="A516" s="4"/>
      <c r="C516" s="5"/>
    </row>
    <row r="517">
      <c r="A517" s="4"/>
      <c r="C517" s="5"/>
    </row>
    <row r="518">
      <c r="A518" s="4"/>
      <c r="C518" s="5"/>
    </row>
    <row r="519">
      <c r="A519" s="4"/>
      <c r="C519" s="5"/>
    </row>
    <row r="520">
      <c r="A520" s="4"/>
      <c r="C520" s="5"/>
    </row>
    <row r="521">
      <c r="A521" s="4"/>
      <c r="C521" s="5"/>
    </row>
    <row r="522">
      <c r="A522" s="4"/>
      <c r="C522" s="5"/>
    </row>
    <row r="523">
      <c r="A523" s="4"/>
      <c r="C523" s="5"/>
    </row>
    <row r="524">
      <c r="A524" s="4"/>
      <c r="C524" s="5"/>
    </row>
    <row r="525">
      <c r="A525" s="4"/>
      <c r="C525" s="5"/>
    </row>
    <row r="526">
      <c r="A526" s="4"/>
      <c r="C526" s="5"/>
    </row>
    <row r="527">
      <c r="A527" s="4"/>
      <c r="C527" s="5"/>
    </row>
    <row r="528">
      <c r="A528" s="4"/>
      <c r="C528" s="5"/>
    </row>
    <row r="529">
      <c r="A529" s="4"/>
      <c r="C529" s="5"/>
    </row>
    <row r="530">
      <c r="A530" s="4"/>
      <c r="C530" s="5"/>
    </row>
    <row r="531">
      <c r="A531" s="4"/>
      <c r="C531" s="5"/>
    </row>
    <row r="532">
      <c r="A532" s="4"/>
      <c r="C532" s="5"/>
    </row>
    <row r="533">
      <c r="A533" s="4"/>
      <c r="C533" s="5"/>
    </row>
    <row r="534">
      <c r="A534" s="4"/>
      <c r="C534" s="5"/>
    </row>
    <row r="535">
      <c r="A535" s="4"/>
      <c r="C535" s="5"/>
    </row>
    <row r="536">
      <c r="A536" s="4"/>
      <c r="C536" s="5"/>
    </row>
    <row r="537">
      <c r="A537" s="4"/>
      <c r="C537" s="5"/>
    </row>
    <row r="538">
      <c r="A538" s="4"/>
      <c r="C538" s="5"/>
    </row>
    <row r="539">
      <c r="A539" s="4"/>
      <c r="C539" s="5"/>
    </row>
    <row r="540">
      <c r="A540" s="4"/>
      <c r="C540" s="5"/>
    </row>
    <row r="541">
      <c r="A541" s="4"/>
      <c r="C541" s="5"/>
    </row>
    <row r="542">
      <c r="A542" s="4"/>
      <c r="C542" s="5"/>
    </row>
    <row r="543">
      <c r="A543" s="4"/>
      <c r="C543" s="5"/>
    </row>
    <row r="544">
      <c r="A544" s="4"/>
      <c r="C544" s="5"/>
    </row>
    <row r="545">
      <c r="A545" s="4"/>
      <c r="C545" s="5"/>
    </row>
    <row r="546">
      <c r="A546" s="4"/>
      <c r="C546" s="5"/>
    </row>
    <row r="547">
      <c r="A547" s="4"/>
      <c r="C547" s="5"/>
    </row>
    <row r="548">
      <c r="A548" s="4"/>
      <c r="C548" s="5"/>
    </row>
    <row r="549">
      <c r="A549" s="4"/>
      <c r="C549" s="5"/>
    </row>
    <row r="550">
      <c r="A550" s="4"/>
      <c r="C550" s="5"/>
    </row>
    <row r="551">
      <c r="A551" s="4"/>
      <c r="C551" s="5"/>
    </row>
    <row r="552">
      <c r="A552" s="4"/>
      <c r="C552" s="5"/>
    </row>
    <row r="553">
      <c r="A553" s="4"/>
      <c r="C553" s="5"/>
    </row>
    <row r="554">
      <c r="A554" s="4"/>
      <c r="C554" s="5"/>
    </row>
    <row r="555">
      <c r="A555" s="4"/>
      <c r="C555" s="5"/>
    </row>
    <row r="556">
      <c r="A556" s="4"/>
      <c r="C556" s="5"/>
    </row>
    <row r="557">
      <c r="A557" s="4"/>
      <c r="C557" s="5"/>
    </row>
    <row r="558">
      <c r="A558" s="4"/>
      <c r="C558" s="5"/>
    </row>
    <row r="559">
      <c r="A559" s="4"/>
      <c r="C559" s="5"/>
    </row>
    <row r="560">
      <c r="A560" s="4"/>
      <c r="C560" s="5"/>
    </row>
    <row r="561">
      <c r="A561" s="4"/>
      <c r="C561" s="5"/>
    </row>
    <row r="562">
      <c r="A562" s="4"/>
      <c r="C562" s="5"/>
    </row>
    <row r="563">
      <c r="A563" s="4"/>
      <c r="C563" s="5"/>
    </row>
    <row r="564">
      <c r="A564" s="4"/>
      <c r="C564" s="5"/>
    </row>
    <row r="565">
      <c r="A565" s="4"/>
      <c r="C565" s="5"/>
    </row>
    <row r="566">
      <c r="A566" s="4"/>
      <c r="C566" s="5"/>
    </row>
    <row r="567">
      <c r="A567" s="4"/>
      <c r="C567" s="5"/>
    </row>
    <row r="568">
      <c r="A568" s="4"/>
      <c r="C568" s="5"/>
    </row>
    <row r="569">
      <c r="A569" s="4"/>
      <c r="C569" s="5"/>
    </row>
    <row r="570">
      <c r="A570" s="4"/>
      <c r="C570" s="5"/>
    </row>
    <row r="571">
      <c r="A571" s="4"/>
      <c r="C571" s="5"/>
    </row>
    <row r="572">
      <c r="A572" s="4"/>
      <c r="C572" s="5"/>
    </row>
    <row r="573">
      <c r="A573" s="4"/>
      <c r="C573" s="5"/>
    </row>
    <row r="574">
      <c r="A574" s="4"/>
      <c r="C574" s="5"/>
    </row>
    <row r="575">
      <c r="A575" s="4"/>
      <c r="C575" s="5"/>
    </row>
    <row r="576">
      <c r="A576" s="4"/>
      <c r="C576" s="5"/>
    </row>
    <row r="577">
      <c r="A577" s="4"/>
      <c r="C577" s="5"/>
    </row>
    <row r="578">
      <c r="A578" s="4"/>
      <c r="C578" s="5"/>
    </row>
    <row r="579">
      <c r="A579" s="4"/>
      <c r="C579" s="5"/>
    </row>
    <row r="580">
      <c r="A580" s="4"/>
      <c r="C580" s="5"/>
    </row>
    <row r="581">
      <c r="A581" s="4"/>
      <c r="C581" s="5"/>
    </row>
    <row r="582">
      <c r="A582" s="4"/>
      <c r="C582" s="5"/>
    </row>
    <row r="583">
      <c r="A583" s="4"/>
      <c r="C583" s="5"/>
    </row>
    <row r="584">
      <c r="A584" s="4"/>
      <c r="C584" s="5"/>
    </row>
    <row r="585">
      <c r="A585" s="4"/>
      <c r="C585" s="5"/>
    </row>
    <row r="586">
      <c r="A586" s="4"/>
      <c r="C586" s="5"/>
    </row>
    <row r="587">
      <c r="A587" s="4"/>
      <c r="C587" s="5"/>
    </row>
    <row r="588">
      <c r="A588" s="4"/>
      <c r="C588" s="5"/>
    </row>
    <row r="589">
      <c r="A589" s="4"/>
      <c r="C589" s="5"/>
    </row>
    <row r="590">
      <c r="A590" s="4"/>
      <c r="C590" s="5"/>
    </row>
    <row r="591">
      <c r="A591" s="4"/>
      <c r="C591" s="5"/>
    </row>
    <row r="592">
      <c r="A592" s="4"/>
      <c r="C592" s="5"/>
    </row>
    <row r="593">
      <c r="A593" s="4"/>
      <c r="C593" s="5"/>
    </row>
    <row r="594">
      <c r="A594" s="4"/>
      <c r="C594" s="5"/>
    </row>
    <row r="595">
      <c r="A595" s="4"/>
      <c r="C595" s="5"/>
    </row>
    <row r="596">
      <c r="A596" s="4"/>
      <c r="C596" s="5"/>
    </row>
    <row r="597">
      <c r="A597" s="4"/>
      <c r="C597" s="5"/>
    </row>
    <row r="598">
      <c r="A598" s="4"/>
      <c r="C598" s="5"/>
    </row>
    <row r="599">
      <c r="A599" s="4"/>
      <c r="C599" s="5"/>
    </row>
    <row r="600">
      <c r="A600" s="4"/>
      <c r="C600" s="5"/>
    </row>
    <row r="601">
      <c r="A601" s="4"/>
      <c r="C601" s="5"/>
    </row>
    <row r="602">
      <c r="A602" s="4"/>
      <c r="C602" s="5"/>
    </row>
    <row r="603">
      <c r="A603" s="4"/>
      <c r="C603" s="5"/>
    </row>
    <row r="604">
      <c r="A604" s="4"/>
      <c r="C604" s="5"/>
    </row>
    <row r="605">
      <c r="A605" s="4"/>
      <c r="C605" s="5"/>
    </row>
    <row r="606">
      <c r="A606" s="4"/>
      <c r="C606" s="5"/>
    </row>
    <row r="607">
      <c r="A607" s="4"/>
      <c r="C607" s="5"/>
    </row>
    <row r="608">
      <c r="A608" s="4"/>
      <c r="C608" s="5"/>
    </row>
    <row r="609">
      <c r="A609" s="4"/>
      <c r="C609" s="5"/>
    </row>
    <row r="610">
      <c r="A610" s="4"/>
      <c r="C610" s="5"/>
    </row>
    <row r="611">
      <c r="A611" s="4"/>
      <c r="C611" s="5"/>
    </row>
    <row r="612">
      <c r="A612" s="4"/>
      <c r="C612" s="5"/>
    </row>
    <row r="613">
      <c r="A613" s="4"/>
      <c r="C613" s="5"/>
    </row>
    <row r="614">
      <c r="A614" s="4"/>
      <c r="C614" s="5"/>
    </row>
    <row r="615">
      <c r="A615" s="4"/>
      <c r="C615" s="5"/>
    </row>
    <row r="616">
      <c r="A616" s="4"/>
      <c r="C616" s="5"/>
    </row>
    <row r="617">
      <c r="A617" s="4"/>
      <c r="C617" s="5"/>
    </row>
    <row r="618">
      <c r="A618" s="4"/>
      <c r="C618" s="5"/>
    </row>
    <row r="619">
      <c r="A619" s="4"/>
      <c r="C619" s="5"/>
    </row>
    <row r="620">
      <c r="A620" s="4"/>
      <c r="C620" s="5"/>
    </row>
    <row r="621">
      <c r="A621" s="4"/>
      <c r="C621" s="5"/>
    </row>
    <row r="622">
      <c r="A622" s="4"/>
      <c r="C622" s="5"/>
    </row>
    <row r="623">
      <c r="A623" s="4"/>
      <c r="C623" s="5"/>
    </row>
    <row r="624">
      <c r="A624" s="4"/>
      <c r="C624" s="5"/>
    </row>
    <row r="625">
      <c r="A625" s="4"/>
      <c r="C625" s="5"/>
    </row>
    <row r="626">
      <c r="A626" s="4"/>
      <c r="C626" s="5"/>
    </row>
    <row r="627">
      <c r="A627" s="4"/>
      <c r="C627" s="5"/>
    </row>
    <row r="628">
      <c r="A628" s="4"/>
      <c r="C628" s="5"/>
    </row>
    <row r="629">
      <c r="A629" s="4"/>
      <c r="C629" s="5"/>
    </row>
    <row r="630">
      <c r="A630" s="4"/>
      <c r="C630" s="5"/>
    </row>
    <row r="631">
      <c r="A631" s="4"/>
      <c r="C631" s="5"/>
    </row>
    <row r="632">
      <c r="A632" s="4"/>
      <c r="C632" s="5"/>
    </row>
    <row r="633">
      <c r="A633" s="4"/>
      <c r="C633" s="5"/>
    </row>
    <row r="634">
      <c r="A634" s="4"/>
      <c r="C634" s="5"/>
    </row>
    <row r="635">
      <c r="A635" s="4"/>
      <c r="C635" s="5"/>
    </row>
    <row r="636">
      <c r="A636" s="4"/>
      <c r="C636" s="5"/>
    </row>
    <row r="637">
      <c r="A637" s="4"/>
      <c r="C637" s="5"/>
    </row>
    <row r="638">
      <c r="A638" s="4"/>
      <c r="C638" s="5"/>
    </row>
    <row r="639">
      <c r="A639" s="4"/>
      <c r="C639" s="5"/>
    </row>
    <row r="640">
      <c r="A640" s="4"/>
      <c r="C640" s="5"/>
    </row>
    <row r="641">
      <c r="A641" s="4"/>
      <c r="C641" s="5"/>
    </row>
    <row r="642">
      <c r="A642" s="4"/>
      <c r="C642" s="5"/>
    </row>
    <row r="643">
      <c r="A643" s="4"/>
      <c r="C643" s="5"/>
    </row>
    <row r="644">
      <c r="A644" s="4"/>
      <c r="C644" s="5"/>
    </row>
    <row r="645">
      <c r="A645" s="4"/>
      <c r="C645" s="5"/>
    </row>
    <row r="646">
      <c r="A646" s="4"/>
      <c r="C646" s="5"/>
    </row>
    <row r="647">
      <c r="A647" s="4"/>
      <c r="C647" s="5"/>
    </row>
    <row r="648">
      <c r="A648" s="4"/>
      <c r="C648" s="5"/>
    </row>
    <row r="649">
      <c r="A649" s="4"/>
      <c r="C649" s="5"/>
    </row>
    <row r="650">
      <c r="A650" s="4"/>
      <c r="C650" s="5"/>
    </row>
    <row r="651">
      <c r="A651" s="4"/>
      <c r="C651" s="5"/>
    </row>
    <row r="652">
      <c r="A652" s="4"/>
      <c r="C652" s="5"/>
    </row>
    <row r="653">
      <c r="A653" s="4"/>
      <c r="C653" s="5"/>
    </row>
    <row r="654">
      <c r="A654" s="4"/>
      <c r="C654" s="5"/>
    </row>
    <row r="655">
      <c r="A655" s="4"/>
      <c r="C655" s="5"/>
    </row>
    <row r="656">
      <c r="A656" s="4"/>
      <c r="C656" s="5"/>
    </row>
    <row r="657">
      <c r="A657" s="4"/>
      <c r="C657" s="5"/>
    </row>
    <row r="658">
      <c r="A658" s="4"/>
      <c r="C658" s="5"/>
    </row>
    <row r="659">
      <c r="A659" s="4"/>
      <c r="C659" s="5"/>
    </row>
    <row r="660">
      <c r="A660" s="4"/>
      <c r="C660" s="5"/>
    </row>
    <row r="661">
      <c r="A661" s="4"/>
      <c r="C661" s="5"/>
    </row>
    <row r="662">
      <c r="A662" s="4"/>
      <c r="C662" s="5"/>
    </row>
    <row r="663">
      <c r="A663" s="4"/>
      <c r="C663" s="5"/>
    </row>
    <row r="664">
      <c r="A664" s="4"/>
      <c r="C664" s="5"/>
    </row>
    <row r="665">
      <c r="A665" s="4"/>
      <c r="C665" s="5"/>
    </row>
    <row r="666">
      <c r="A666" s="4"/>
      <c r="C666" s="5"/>
    </row>
    <row r="667">
      <c r="A667" s="4"/>
      <c r="C667" s="5"/>
    </row>
    <row r="668">
      <c r="A668" s="4"/>
      <c r="C668" s="5"/>
    </row>
    <row r="669">
      <c r="A669" s="4"/>
      <c r="C669" s="5"/>
    </row>
    <row r="670">
      <c r="A670" s="4"/>
      <c r="C670" s="5"/>
    </row>
    <row r="671">
      <c r="A671" s="4"/>
      <c r="C671" s="5"/>
    </row>
    <row r="672">
      <c r="A672" s="4"/>
      <c r="C672" s="5"/>
    </row>
    <row r="673">
      <c r="A673" s="4"/>
      <c r="C673" s="5"/>
    </row>
    <row r="674">
      <c r="A674" s="4"/>
      <c r="C674" s="5"/>
    </row>
    <row r="675">
      <c r="A675" s="4"/>
      <c r="C675" s="5"/>
    </row>
    <row r="676">
      <c r="A676" s="4"/>
      <c r="C676" s="5"/>
    </row>
    <row r="677">
      <c r="A677" s="4"/>
      <c r="C677" s="5"/>
    </row>
    <row r="678">
      <c r="A678" s="4"/>
      <c r="C678" s="5"/>
    </row>
    <row r="679">
      <c r="A679" s="4"/>
      <c r="C679" s="5"/>
    </row>
    <row r="680">
      <c r="A680" s="4"/>
      <c r="C680" s="5"/>
    </row>
    <row r="681">
      <c r="A681" s="4"/>
      <c r="C681" s="5"/>
    </row>
    <row r="682">
      <c r="A682" s="4"/>
      <c r="C682" s="5"/>
    </row>
    <row r="683">
      <c r="A683" s="4"/>
      <c r="C683" s="5"/>
    </row>
    <row r="684">
      <c r="A684" s="4"/>
      <c r="C684" s="5"/>
    </row>
    <row r="685">
      <c r="A685" s="4"/>
      <c r="C685" s="5"/>
    </row>
    <row r="686">
      <c r="A686" s="4"/>
      <c r="C686" s="5"/>
    </row>
    <row r="687">
      <c r="A687" s="4"/>
      <c r="C687" s="5"/>
    </row>
    <row r="688">
      <c r="A688" s="4"/>
      <c r="C688" s="5"/>
    </row>
    <row r="689">
      <c r="A689" s="4"/>
      <c r="C689" s="5"/>
    </row>
    <row r="690">
      <c r="A690" s="4"/>
      <c r="C690" s="5"/>
    </row>
    <row r="691">
      <c r="A691" s="4"/>
      <c r="C691" s="5"/>
    </row>
    <row r="692">
      <c r="A692" s="4"/>
      <c r="C692" s="5"/>
    </row>
    <row r="693">
      <c r="A693" s="4"/>
      <c r="C693" s="5"/>
    </row>
    <row r="694">
      <c r="A694" s="4"/>
      <c r="C694" s="5"/>
    </row>
    <row r="695">
      <c r="A695" s="4"/>
      <c r="C695" s="5"/>
    </row>
    <row r="696">
      <c r="A696" s="4"/>
      <c r="C696" s="5"/>
    </row>
    <row r="697">
      <c r="A697" s="4"/>
      <c r="C697" s="5"/>
    </row>
    <row r="698">
      <c r="A698" s="4"/>
      <c r="C698" s="5"/>
    </row>
    <row r="699">
      <c r="A699" s="4"/>
      <c r="C699" s="5"/>
    </row>
    <row r="700">
      <c r="A700" s="4"/>
      <c r="C700" s="5"/>
    </row>
    <row r="701">
      <c r="A701" s="4"/>
      <c r="C701" s="5"/>
    </row>
    <row r="702">
      <c r="A702" s="4"/>
      <c r="C702" s="5"/>
    </row>
    <row r="703">
      <c r="A703" s="4"/>
      <c r="C703" s="5"/>
    </row>
    <row r="704">
      <c r="A704" s="4"/>
      <c r="C704" s="5"/>
    </row>
    <row r="705">
      <c r="A705" s="4"/>
      <c r="C705" s="5"/>
    </row>
    <row r="706">
      <c r="A706" s="4"/>
      <c r="C706" s="5"/>
    </row>
    <row r="707">
      <c r="A707" s="4"/>
      <c r="C707" s="5"/>
    </row>
    <row r="708">
      <c r="A708" s="4"/>
      <c r="C708" s="5"/>
    </row>
    <row r="709">
      <c r="A709" s="4"/>
      <c r="C709" s="5"/>
    </row>
    <row r="710">
      <c r="A710" s="4"/>
      <c r="C710" s="5"/>
    </row>
    <row r="711">
      <c r="A711" s="4"/>
      <c r="C711" s="5"/>
    </row>
    <row r="712">
      <c r="A712" s="4"/>
      <c r="C712" s="5"/>
    </row>
    <row r="713">
      <c r="A713" s="4"/>
      <c r="C713" s="5"/>
    </row>
    <row r="714">
      <c r="A714" s="4"/>
      <c r="C714" s="5"/>
    </row>
    <row r="715">
      <c r="A715" s="4"/>
      <c r="C715" s="5"/>
    </row>
    <row r="716">
      <c r="A716" s="4"/>
      <c r="C716" s="5"/>
    </row>
    <row r="717">
      <c r="A717" s="4"/>
      <c r="C717" s="5"/>
    </row>
    <row r="718">
      <c r="A718" s="4"/>
      <c r="C718" s="5"/>
    </row>
    <row r="719">
      <c r="A719" s="4"/>
      <c r="C719" s="5"/>
    </row>
    <row r="720">
      <c r="A720" s="4"/>
      <c r="C720" s="5"/>
    </row>
    <row r="721">
      <c r="A721" s="4"/>
      <c r="C721" s="5"/>
    </row>
    <row r="722">
      <c r="A722" s="4"/>
      <c r="C722" s="5"/>
    </row>
    <row r="723">
      <c r="A723" s="4"/>
      <c r="C723" s="5"/>
    </row>
    <row r="724">
      <c r="A724" s="4"/>
      <c r="C724" s="5"/>
    </row>
    <row r="725">
      <c r="A725" s="4"/>
      <c r="C725" s="5"/>
    </row>
    <row r="726">
      <c r="A726" s="4"/>
      <c r="C726" s="5"/>
    </row>
    <row r="727">
      <c r="A727" s="4"/>
      <c r="C727" s="5"/>
    </row>
    <row r="728">
      <c r="A728" s="4"/>
      <c r="C728" s="5"/>
    </row>
    <row r="729">
      <c r="A729" s="4"/>
      <c r="C729" s="5"/>
    </row>
    <row r="730">
      <c r="A730" s="4"/>
      <c r="C730" s="5"/>
    </row>
    <row r="731">
      <c r="A731" s="4"/>
      <c r="C731" s="5"/>
    </row>
    <row r="732">
      <c r="A732" s="4"/>
      <c r="C732" s="5"/>
    </row>
    <row r="733">
      <c r="A733" s="4"/>
      <c r="C733" s="5"/>
    </row>
    <row r="734">
      <c r="A734" s="4"/>
      <c r="C734" s="5"/>
    </row>
    <row r="735">
      <c r="A735" s="4"/>
      <c r="C735" s="5"/>
    </row>
    <row r="736">
      <c r="A736" s="4"/>
      <c r="C736" s="5"/>
    </row>
    <row r="737">
      <c r="A737" s="4"/>
      <c r="C737" s="5"/>
    </row>
    <row r="738">
      <c r="A738" s="4"/>
      <c r="C738" s="5"/>
    </row>
    <row r="739">
      <c r="A739" s="4"/>
      <c r="C739" s="5"/>
    </row>
    <row r="740">
      <c r="A740" s="4"/>
      <c r="C740" s="5"/>
    </row>
    <row r="741">
      <c r="A741" s="4"/>
      <c r="C741" s="5"/>
    </row>
    <row r="742">
      <c r="A742" s="4"/>
      <c r="C742" s="5"/>
    </row>
    <row r="743">
      <c r="A743" s="4"/>
      <c r="C743" s="5"/>
    </row>
    <row r="744">
      <c r="A744" s="4"/>
      <c r="C744" s="5"/>
    </row>
    <row r="745">
      <c r="A745" s="4"/>
      <c r="C745" s="5"/>
    </row>
    <row r="746">
      <c r="A746" s="4"/>
      <c r="C746" s="5"/>
    </row>
    <row r="747">
      <c r="A747" s="4"/>
      <c r="C747" s="5"/>
    </row>
    <row r="748">
      <c r="A748" s="4"/>
      <c r="C748" s="5"/>
    </row>
    <row r="749">
      <c r="A749" s="4"/>
      <c r="C749" s="5"/>
    </row>
    <row r="750">
      <c r="A750" s="4"/>
      <c r="C750" s="5"/>
    </row>
    <row r="751">
      <c r="A751" s="4"/>
      <c r="C751" s="5"/>
    </row>
    <row r="752">
      <c r="A752" s="4"/>
      <c r="C752" s="5"/>
    </row>
    <row r="753">
      <c r="A753" s="4"/>
      <c r="C753" s="5"/>
    </row>
    <row r="754">
      <c r="A754" s="4"/>
      <c r="C754" s="5"/>
    </row>
    <row r="755">
      <c r="A755" s="4"/>
      <c r="C755" s="5"/>
    </row>
    <row r="756">
      <c r="A756" s="4"/>
      <c r="C756" s="5"/>
    </row>
    <row r="757">
      <c r="A757" s="4"/>
      <c r="C757" s="5"/>
    </row>
    <row r="758">
      <c r="A758" s="4"/>
      <c r="C758" s="5"/>
    </row>
    <row r="759">
      <c r="A759" s="4"/>
      <c r="C759" s="5"/>
    </row>
    <row r="760">
      <c r="A760" s="4"/>
      <c r="C760" s="5"/>
    </row>
    <row r="761">
      <c r="A761" s="4"/>
      <c r="C761" s="5"/>
    </row>
    <row r="762">
      <c r="A762" s="4"/>
      <c r="C762" s="5"/>
    </row>
    <row r="763">
      <c r="A763" s="4"/>
      <c r="C763" s="5"/>
    </row>
    <row r="764">
      <c r="A764" s="4"/>
      <c r="C764" s="5"/>
    </row>
    <row r="765">
      <c r="A765" s="4"/>
      <c r="C765" s="5"/>
    </row>
    <row r="766">
      <c r="A766" s="4"/>
      <c r="C766" s="5"/>
    </row>
    <row r="767">
      <c r="A767" s="4"/>
      <c r="C767" s="5"/>
    </row>
    <row r="768">
      <c r="A768" s="4"/>
      <c r="C768" s="5"/>
    </row>
    <row r="769">
      <c r="A769" s="4"/>
      <c r="C769" s="5"/>
    </row>
    <row r="770">
      <c r="A770" s="4"/>
      <c r="C770" s="5"/>
    </row>
    <row r="771">
      <c r="A771" s="4"/>
      <c r="C771" s="5"/>
    </row>
    <row r="772">
      <c r="A772" s="4"/>
      <c r="C772" s="5"/>
    </row>
    <row r="773">
      <c r="A773" s="4"/>
      <c r="C773" s="5"/>
    </row>
    <row r="774">
      <c r="A774" s="4"/>
      <c r="C774" s="5"/>
    </row>
    <row r="775">
      <c r="A775" s="4"/>
      <c r="C775" s="5"/>
    </row>
    <row r="776">
      <c r="A776" s="4"/>
      <c r="C776" s="5"/>
    </row>
    <row r="777">
      <c r="A777" s="4"/>
      <c r="C777" s="5"/>
    </row>
    <row r="778">
      <c r="A778" s="4"/>
      <c r="C778" s="5"/>
    </row>
    <row r="779">
      <c r="A779" s="4"/>
      <c r="C779" s="5"/>
    </row>
    <row r="780">
      <c r="A780" s="4"/>
      <c r="C780" s="5"/>
    </row>
    <row r="781">
      <c r="A781" s="4"/>
      <c r="C781" s="5"/>
    </row>
    <row r="782">
      <c r="A782" s="4"/>
      <c r="C782" s="5"/>
    </row>
    <row r="783">
      <c r="A783" s="4"/>
      <c r="C783" s="5"/>
    </row>
    <row r="784">
      <c r="A784" s="4"/>
      <c r="C784" s="5"/>
    </row>
    <row r="785">
      <c r="A785" s="4"/>
      <c r="C785" s="5"/>
    </row>
    <row r="786">
      <c r="A786" s="4"/>
      <c r="C786" s="5"/>
    </row>
    <row r="787">
      <c r="A787" s="4"/>
      <c r="C787" s="5"/>
    </row>
    <row r="788">
      <c r="A788" s="4"/>
      <c r="C788" s="5"/>
    </row>
    <row r="789">
      <c r="A789" s="4"/>
      <c r="C789" s="5"/>
    </row>
    <row r="790">
      <c r="A790" s="4"/>
      <c r="C790" s="5"/>
    </row>
    <row r="791">
      <c r="A791" s="4"/>
      <c r="C791" s="5"/>
    </row>
    <row r="792">
      <c r="A792" s="4"/>
      <c r="C792" s="5"/>
    </row>
    <row r="793">
      <c r="A793" s="4"/>
      <c r="C793" s="5"/>
    </row>
    <row r="794">
      <c r="A794" s="4"/>
      <c r="C794" s="5"/>
    </row>
    <row r="795">
      <c r="A795" s="4"/>
      <c r="C795" s="5"/>
    </row>
    <row r="796">
      <c r="A796" s="4"/>
      <c r="C796" s="5"/>
    </row>
    <row r="797">
      <c r="A797" s="4"/>
      <c r="C797" s="5"/>
    </row>
    <row r="798">
      <c r="A798" s="4"/>
      <c r="C798" s="5"/>
    </row>
    <row r="799">
      <c r="A799" s="4"/>
      <c r="C799" s="5"/>
    </row>
    <row r="800">
      <c r="A800" s="4"/>
      <c r="C800" s="5"/>
    </row>
    <row r="801">
      <c r="A801" s="4"/>
      <c r="C801" s="5"/>
    </row>
    <row r="802">
      <c r="A802" s="4"/>
      <c r="C802" s="5"/>
    </row>
    <row r="803">
      <c r="A803" s="4"/>
      <c r="C803" s="5"/>
    </row>
    <row r="804">
      <c r="A804" s="4"/>
      <c r="C804" s="5"/>
    </row>
    <row r="805">
      <c r="A805" s="4"/>
      <c r="C805" s="5"/>
    </row>
    <row r="806">
      <c r="A806" s="4"/>
      <c r="C806" s="5"/>
    </row>
    <row r="807">
      <c r="A807" s="4"/>
      <c r="C807" s="5"/>
    </row>
    <row r="808">
      <c r="A808" s="4"/>
      <c r="C808" s="5"/>
    </row>
    <row r="809">
      <c r="A809" s="4"/>
      <c r="C809" s="5"/>
    </row>
    <row r="810">
      <c r="A810" s="4"/>
      <c r="C810" s="5"/>
    </row>
    <row r="811">
      <c r="A811" s="4"/>
      <c r="C811" s="5"/>
    </row>
    <row r="812">
      <c r="A812" s="4"/>
      <c r="C812" s="5"/>
    </row>
    <row r="813">
      <c r="A813" s="4"/>
      <c r="C813" s="5"/>
    </row>
    <row r="814">
      <c r="A814" s="4"/>
      <c r="C814" s="5"/>
    </row>
    <row r="815">
      <c r="A815" s="4"/>
      <c r="C815" s="5"/>
    </row>
    <row r="816">
      <c r="A816" s="4"/>
      <c r="C816" s="5"/>
    </row>
    <row r="817">
      <c r="A817" s="4"/>
      <c r="C817" s="5"/>
    </row>
    <row r="818">
      <c r="A818" s="4"/>
      <c r="C818" s="5"/>
    </row>
    <row r="819">
      <c r="A819" s="4"/>
      <c r="C819" s="5"/>
    </row>
    <row r="820">
      <c r="A820" s="4"/>
      <c r="C820" s="5"/>
    </row>
    <row r="821">
      <c r="A821" s="4"/>
      <c r="C821" s="5"/>
    </row>
    <row r="822">
      <c r="A822" s="4"/>
      <c r="C822" s="5"/>
    </row>
    <row r="823">
      <c r="A823" s="4"/>
      <c r="C823" s="5"/>
    </row>
    <row r="824">
      <c r="A824" s="4"/>
      <c r="C824" s="5"/>
    </row>
    <row r="825">
      <c r="A825" s="4"/>
      <c r="C825" s="5"/>
    </row>
    <row r="826">
      <c r="A826" s="4"/>
      <c r="C826" s="5"/>
    </row>
    <row r="827">
      <c r="A827" s="4"/>
      <c r="C827" s="5"/>
    </row>
    <row r="828">
      <c r="A828" s="4"/>
      <c r="C828" s="5"/>
    </row>
    <row r="829">
      <c r="A829" s="4"/>
      <c r="C829" s="5"/>
    </row>
    <row r="830">
      <c r="A830" s="4"/>
      <c r="C830" s="5"/>
    </row>
    <row r="831">
      <c r="A831" s="4"/>
      <c r="C831" s="5"/>
    </row>
    <row r="832">
      <c r="A832" s="4"/>
      <c r="C832" s="5"/>
    </row>
    <row r="833">
      <c r="A833" s="4"/>
      <c r="C833" s="5"/>
    </row>
    <row r="834">
      <c r="A834" s="4"/>
      <c r="C834" s="5"/>
    </row>
    <row r="835">
      <c r="A835" s="4"/>
      <c r="C835" s="5"/>
    </row>
    <row r="836">
      <c r="A836" s="4"/>
      <c r="C836" s="5"/>
    </row>
    <row r="837">
      <c r="A837" s="4"/>
      <c r="C837" s="5"/>
    </row>
    <row r="838">
      <c r="A838" s="4"/>
      <c r="C838" s="5"/>
    </row>
    <row r="839">
      <c r="A839" s="4"/>
      <c r="C839" s="5"/>
    </row>
    <row r="840">
      <c r="A840" s="4"/>
      <c r="C840" s="5"/>
    </row>
    <row r="841">
      <c r="A841" s="4"/>
      <c r="C841" s="5"/>
    </row>
    <row r="842">
      <c r="A842" s="4"/>
      <c r="C842" s="5"/>
    </row>
    <row r="843">
      <c r="A843" s="4"/>
      <c r="C843" s="5"/>
    </row>
    <row r="844">
      <c r="A844" s="4"/>
      <c r="C844" s="5"/>
    </row>
    <row r="845">
      <c r="A845" s="4"/>
      <c r="C845" s="5"/>
    </row>
    <row r="846">
      <c r="A846" s="4"/>
      <c r="C846" s="5"/>
    </row>
    <row r="847">
      <c r="A847" s="4"/>
      <c r="C847" s="5"/>
    </row>
    <row r="848">
      <c r="A848" s="4"/>
      <c r="C848" s="5"/>
    </row>
    <row r="849">
      <c r="A849" s="4"/>
      <c r="C849" s="5"/>
    </row>
    <row r="850">
      <c r="A850" s="4"/>
      <c r="C850" s="5"/>
    </row>
    <row r="851">
      <c r="A851" s="4"/>
      <c r="C851" s="5"/>
    </row>
    <row r="852">
      <c r="A852" s="4"/>
      <c r="C852" s="5"/>
    </row>
    <row r="853">
      <c r="A853" s="4"/>
      <c r="C853" s="5"/>
    </row>
    <row r="854">
      <c r="A854" s="4"/>
      <c r="C854" s="5"/>
    </row>
    <row r="855">
      <c r="A855" s="4"/>
      <c r="C855" s="5"/>
    </row>
    <row r="856">
      <c r="A856" s="4"/>
      <c r="C856" s="5"/>
    </row>
    <row r="857">
      <c r="A857" s="4"/>
      <c r="C857" s="5"/>
    </row>
    <row r="858">
      <c r="A858" s="4"/>
      <c r="C858" s="5"/>
    </row>
    <row r="859">
      <c r="A859" s="4"/>
      <c r="C859" s="5"/>
    </row>
    <row r="860">
      <c r="A860" s="4"/>
      <c r="C860" s="5"/>
    </row>
    <row r="861">
      <c r="A861" s="4"/>
      <c r="C861" s="5"/>
    </row>
    <row r="862">
      <c r="A862" s="4"/>
      <c r="C862" s="5"/>
    </row>
    <row r="863">
      <c r="A863" s="4"/>
      <c r="C863" s="5"/>
    </row>
    <row r="864">
      <c r="A864" s="4"/>
      <c r="C864" s="5"/>
    </row>
    <row r="865">
      <c r="A865" s="4"/>
      <c r="C865" s="5"/>
    </row>
    <row r="866">
      <c r="A866" s="4"/>
      <c r="C866" s="5"/>
    </row>
    <row r="867">
      <c r="A867" s="4"/>
      <c r="C867" s="5"/>
    </row>
    <row r="868">
      <c r="A868" s="4"/>
      <c r="C868" s="5"/>
    </row>
    <row r="869">
      <c r="A869" s="4"/>
      <c r="C869" s="5"/>
    </row>
    <row r="870">
      <c r="A870" s="4"/>
      <c r="C870" s="5"/>
    </row>
    <row r="871">
      <c r="A871" s="4"/>
      <c r="C871" s="5"/>
    </row>
    <row r="872">
      <c r="A872" s="4"/>
      <c r="C872" s="5"/>
    </row>
    <row r="873">
      <c r="A873" s="4"/>
      <c r="C873" s="5"/>
    </row>
    <row r="874">
      <c r="A874" s="4"/>
      <c r="C874" s="5"/>
    </row>
    <row r="875">
      <c r="A875" s="4"/>
      <c r="C875" s="5"/>
    </row>
    <row r="876">
      <c r="A876" s="4"/>
      <c r="C876" s="5"/>
    </row>
    <row r="877">
      <c r="A877" s="4"/>
      <c r="C877" s="5"/>
    </row>
    <row r="878">
      <c r="A878" s="4"/>
      <c r="C878" s="5"/>
    </row>
    <row r="879">
      <c r="A879" s="4"/>
      <c r="C879" s="5"/>
    </row>
    <row r="880">
      <c r="A880" s="4"/>
      <c r="C880" s="5"/>
    </row>
    <row r="881">
      <c r="A881" s="4"/>
      <c r="C881" s="5"/>
    </row>
    <row r="882">
      <c r="A882" s="4"/>
      <c r="C882" s="5"/>
    </row>
    <row r="883">
      <c r="A883" s="4"/>
      <c r="C883" s="5"/>
    </row>
    <row r="884">
      <c r="A884" s="4"/>
      <c r="C884" s="5"/>
    </row>
    <row r="885">
      <c r="A885" s="4"/>
      <c r="C885" s="5"/>
    </row>
    <row r="886">
      <c r="A886" s="4"/>
      <c r="C886" s="5"/>
    </row>
    <row r="887">
      <c r="A887" s="4"/>
      <c r="C887" s="5"/>
    </row>
    <row r="888">
      <c r="A888" s="4"/>
      <c r="C888" s="5"/>
    </row>
    <row r="889">
      <c r="A889" s="4"/>
      <c r="C889" s="5"/>
    </row>
    <row r="890">
      <c r="A890" s="4"/>
      <c r="C890" s="5"/>
    </row>
    <row r="891">
      <c r="A891" s="4"/>
      <c r="C891" s="5"/>
    </row>
    <row r="892">
      <c r="A892" s="4"/>
      <c r="C892" s="5"/>
    </row>
    <row r="893">
      <c r="A893" s="4"/>
      <c r="C893" s="5"/>
    </row>
    <row r="894">
      <c r="A894" s="4"/>
      <c r="C894" s="5"/>
    </row>
    <row r="895">
      <c r="A895" s="4"/>
      <c r="C895" s="5"/>
    </row>
    <row r="896">
      <c r="A896" s="4"/>
      <c r="C896" s="5"/>
    </row>
    <row r="897">
      <c r="A897" s="4"/>
      <c r="C897" s="5"/>
    </row>
    <row r="898">
      <c r="A898" s="4"/>
      <c r="C898" s="5"/>
    </row>
    <row r="899">
      <c r="A899" s="4"/>
      <c r="C899" s="5"/>
    </row>
    <row r="900">
      <c r="A900" s="4"/>
      <c r="C900" s="5"/>
    </row>
    <row r="901">
      <c r="A901" s="4"/>
      <c r="C901" s="5"/>
    </row>
    <row r="902">
      <c r="A902" s="4"/>
      <c r="C902" s="5"/>
    </row>
    <row r="903">
      <c r="A903" s="4"/>
      <c r="C903" s="5"/>
    </row>
    <row r="904">
      <c r="A904" s="4"/>
      <c r="C904" s="5"/>
    </row>
    <row r="905">
      <c r="A905" s="4"/>
      <c r="C905" s="5"/>
    </row>
    <row r="906">
      <c r="A906" s="4"/>
      <c r="C906" s="5"/>
    </row>
    <row r="907">
      <c r="A907" s="4"/>
      <c r="C907" s="5"/>
    </row>
    <row r="908">
      <c r="A908" s="4"/>
      <c r="C908" s="5"/>
    </row>
    <row r="909">
      <c r="A909" s="4"/>
      <c r="C909" s="5"/>
    </row>
    <row r="910">
      <c r="A910" s="4"/>
      <c r="C910" s="5"/>
    </row>
    <row r="911">
      <c r="A911" s="4"/>
      <c r="C911" s="5"/>
    </row>
    <row r="912">
      <c r="A912" s="4"/>
      <c r="C912" s="5"/>
    </row>
    <row r="913">
      <c r="A913" s="4"/>
      <c r="C913" s="5"/>
    </row>
    <row r="914">
      <c r="A914" s="4"/>
      <c r="C914" s="5"/>
    </row>
    <row r="915">
      <c r="A915" s="4"/>
      <c r="C915" s="5"/>
    </row>
    <row r="916">
      <c r="A916" s="4"/>
      <c r="C916" s="5"/>
    </row>
    <row r="917">
      <c r="A917" s="4"/>
      <c r="C917" s="5"/>
    </row>
    <row r="918">
      <c r="A918" s="4"/>
      <c r="C918" s="5"/>
    </row>
    <row r="919">
      <c r="A919" s="4"/>
      <c r="C919" s="5"/>
    </row>
    <row r="920">
      <c r="A920" s="4"/>
      <c r="C920" s="5"/>
    </row>
    <row r="921">
      <c r="A921" s="4"/>
      <c r="C921" s="5"/>
    </row>
    <row r="922">
      <c r="A922" s="4"/>
      <c r="C922" s="5"/>
    </row>
    <row r="923">
      <c r="A923" s="4"/>
      <c r="C923" s="5"/>
    </row>
    <row r="924">
      <c r="A924" s="4"/>
      <c r="C924" s="5"/>
    </row>
    <row r="925">
      <c r="A925" s="4"/>
      <c r="C925" s="5"/>
    </row>
    <row r="926">
      <c r="A926" s="4"/>
      <c r="C926" s="5"/>
    </row>
    <row r="927">
      <c r="A927" s="4"/>
      <c r="C927" s="5"/>
    </row>
    <row r="928">
      <c r="A928" s="4"/>
      <c r="C928" s="5"/>
    </row>
    <row r="929">
      <c r="A929" s="4"/>
      <c r="C929" s="5"/>
    </row>
    <row r="930">
      <c r="A930" s="4"/>
      <c r="C930" s="5"/>
    </row>
    <row r="931">
      <c r="A931" s="4"/>
      <c r="C931" s="5"/>
    </row>
    <row r="932">
      <c r="A932" s="4"/>
      <c r="C932" s="5"/>
    </row>
    <row r="933">
      <c r="A933" s="4"/>
      <c r="C933" s="5"/>
    </row>
    <row r="934">
      <c r="A934" s="4"/>
      <c r="C934" s="5"/>
    </row>
    <row r="935">
      <c r="A935" s="4"/>
      <c r="C935" s="5"/>
    </row>
    <row r="936">
      <c r="A936" s="4"/>
      <c r="C936" s="5"/>
    </row>
    <row r="937">
      <c r="A937" s="4"/>
      <c r="C937" s="5"/>
    </row>
    <row r="938">
      <c r="A938" s="4"/>
      <c r="C938" s="5"/>
    </row>
    <row r="939">
      <c r="A939" s="4"/>
      <c r="C939" s="5"/>
    </row>
    <row r="940">
      <c r="A940" s="4"/>
      <c r="C940" s="5"/>
    </row>
    <row r="941">
      <c r="A941" s="4"/>
      <c r="C941" s="5"/>
    </row>
    <row r="942">
      <c r="A942" s="4"/>
      <c r="C942" s="5"/>
    </row>
    <row r="943">
      <c r="A943" s="4"/>
      <c r="C943" s="5"/>
    </row>
    <row r="944">
      <c r="A944" s="4"/>
      <c r="C944" s="5"/>
    </row>
    <row r="945">
      <c r="A945" s="4"/>
      <c r="C945" s="5"/>
    </row>
    <row r="946">
      <c r="A946" s="4"/>
      <c r="C946" s="5"/>
    </row>
    <row r="947">
      <c r="A947" s="4"/>
      <c r="C947" s="5"/>
    </row>
    <row r="948">
      <c r="A948" s="4"/>
      <c r="C948" s="5"/>
    </row>
    <row r="949">
      <c r="A949" s="4"/>
      <c r="C949" s="5"/>
    </row>
    <row r="950">
      <c r="A950" s="4"/>
      <c r="C950" s="5"/>
    </row>
    <row r="951">
      <c r="A951" s="4"/>
      <c r="C951" s="5"/>
    </row>
    <row r="952">
      <c r="A952" s="4"/>
      <c r="C952" s="5"/>
    </row>
    <row r="953">
      <c r="A953" s="4"/>
      <c r="C953" s="5"/>
    </row>
    <row r="954">
      <c r="A954" s="4"/>
      <c r="C954" s="5"/>
    </row>
    <row r="955">
      <c r="A955" s="4"/>
      <c r="C955" s="5"/>
    </row>
    <row r="956">
      <c r="A956" s="4"/>
      <c r="C956" s="5"/>
    </row>
    <row r="957">
      <c r="A957" s="4"/>
      <c r="C957" s="5"/>
    </row>
    <row r="958">
      <c r="A958" s="4"/>
      <c r="C958" s="5"/>
    </row>
    <row r="959">
      <c r="A959" s="4"/>
      <c r="C959" s="5"/>
    </row>
    <row r="960">
      <c r="A960" s="4"/>
      <c r="C960" s="5"/>
    </row>
    <row r="961">
      <c r="A961" s="4"/>
      <c r="C961" s="5"/>
    </row>
    <row r="962">
      <c r="A962" s="4"/>
      <c r="C962" s="5"/>
    </row>
    <row r="963">
      <c r="A963" s="4"/>
      <c r="C963" s="5"/>
    </row>
    <row r="964">
      <c r="A964" s="4"/>
      <c r="C964" s="5"/>
    </row>
    <row r="965">
      <c r="A965" s="4"/>
      <c r="C965" s="5"/>
    </row>
    <row r="966">
      <c r="A966" s="4"/>
      <c r="C966" s="5"/>
    </row>
    <row r="967">
      <c r="A967" s="4"/>
      <c r="C967" s="5"/>
    </row>
    <row r="968">
      <c r="A968" s="4"/>
      <c r="C968" s="5"/>
    </row>
    <row r="969">
      <c r="A969" s="4"/>
      <c r="C969" s="5"/>
    </row>
    <row r="970">
      <c r="A970" s="4"/>
      <c r="C970" s="5"/>
    </row>
    <row r="971">
      <c r="A971" s="4"/>
      <c r="C971" s="5"/>
    </row>
    <row r="972">
      <c r="A972" s="4"/>
      <c r="C972" s="5"/>
    </row>
    <row r="973">
      <c r="A973" s="4"/>
      <c r="C973" s="5"/>
    </row>
    <row r="974">
      <c r="A974" s="4"/>
      <c r="C974" s="5"/>
    </row>
    <row r="975">
      <c r="A975" s="4"/>
      <c r="C975" s="5"/>
    </row>
    <row r="976">
      <c r="A976" s="4"/>
      <c r="C976" s="5"/>
    </row>
    <row r="977">
      <c r="A977" s="4"/>
      <c r="C977" s="5"/>
    </row>
    <row r="978">
      <c r="A978" s="4"/>
      <c r="C978" s="5"/>
    </row>
    <row r="979">
      <c r="A979" s="4"/>
      <c r="C979" s="5"/>
    </row>
    <row r="980">
      <c r="A980" s="4"/>
      <c r="C980" s="5"/>
    </row>
    <row r="981">
      <c r="A981" s="4"/>
      <c r="C981" s="5"/>
    </row>
    <row r="982">
      <c r="A982" s="4"/>
      <c r="C982" s="5"/>
    </row>
    <row r="983">
      <c r="A983" s="4"/>
      <c r="C983" s="5"/>
    </row>
    <row r="984">
      <c r="A984" s="4"/>
      <c r="C984" s="5"/>
    </row>
    <row r="985">
      <c r="A985" s="4"/>
      <c r="C985" s="5"/>
    </row>
    <row r="986">
      <c r="A986" s="4"/>
      <c r="C986" s="5"/>
    </row>
    <row r="987">
      <c r="A987" s="4"/>
      <c r="C987" s="5"/>
    </row>
    <row r="988">
      <c r="A988" s="4"/>
      <c r="C988" s="5"/>
    </row>
    <row r="989">
      <c r="A989" s="4"/>
      <c r="C989" s="5"/>
    </row>
    <row r="990">
      <c r="A990" s="4"/>
      <c r="C990" s="5"/>
    </row>
    <row r="991">
      <c r="A991" s="4"/>
      <c r="C991" s="5"/>
    </row>
    <row r="992">
      <c r="A992" s="4"/>
      <c r="C992" s="5"/>
    </row>
    <row r="993">
      <c r="A993" s="4"/>
      <c r="C993" s="5"/>
    </row>
    <row r="994">
      <c r="A994" s="4"/>
      <c r="C994" s="5"/>
    </row>
    <row r="995">
      <c r="A995" s="4"/>
      <c r="C995" s="5"/>
    </row>
    <row r="996">
      <c r="A996" s="4"/>
      <c r="C996" s="5"/>
    </row>
    <row r="997">
      <c r="A997" s="4"/>
      <c r="C997" s="5"/>
    </row>
    <row r="998">
      <c r="A998" s="4"/>
      <c r="C998" s="5"/>
    </row>
    <row r="999">
      <c r="A999" s="4"/>
      <c r="C999" s="5"/>
    </row>
    <row r="1000">
      <c r="A1000" s="4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0</v>
      </c>
    </row>
    <row r="2">
      <c r="A2" s="6">
        <v>0.0</v>
      </c>
      <c r="B2" s="7">
        <v>45660.0</v>
      </c>
      <c r="C2" s="6">
        <v>423.136430986355</v>
      </c>
      <c r="D2" s="6">
        <v>390.603348663247</v>
      </c>
      <c r="E2" s="6">
        <v>461.967017914209</v>
      </c>
      <c r="F2" s="6">
        <v>423.136430986355</v>
      </c>
      <c r="G2" s="6">
        <v>423.136430986355</v>
      </c>
      <c r="H2" s="6">
        <v>2.56958435841361</v>
      </c>
      <c r="I2" s="6">
        <v>2.56958435841361</v>
      </c>
      <c r="J2" s="6">
        <v>2.56958435841361</v>
      </c>
      <c r="K2" s="6">
        <v>2.56958435841361</v>
      </c>
      <c r="L2" s="6">
        <v>2.56958435841361</v>
      </c>
      <c r="M2" s="6">
        <v>2.56958435841361</v>
      </c>
      <c r="N2" s="6">
        <v>0.0</v>
      </c>
      <c r="O2" s="6">
        <v>0.0</v>
      </c>
      <c r="P2" s="6">
        <v>0.0</v>
      </c>
      <c r="Q2" s="6">
        <v>425.706015344768</v>
      </c>
    </row>
    <row r="3">
      <c r="A3" s="6">
        <v>1.0</v>
      </c>
      <c r="B3" s="7">
        <v>45663.0</v>
      </c>
      <c r="C3" s="6">
        <v>416.878666255487</v>
      </c>
      <c r="D3" s="6">
        <v>386.135515323791</v>
      </c>
      <c r="E3" s="6">
        <v>454.728074160651</v>
      </c>
      <c r="F3" s="6">
        <v>416.878666255487</v>
      </c>
      <c r="G3" s="6">
        <v>416.878666255487</v>
      </c>
      <c r="H3" s="6">
        <v>3.0505420816235</v>
      </c>
      <c r="I3" s="6">
        <v>3.0505420816235</v>
      </c>
      <c r="J3" s="6">
        <v>3.0505420816235</v>
      </c>
      <c r="K3" s="6">
        <v>3.0505420816235</v>
      </c>
      <c r="L3" s="6">
        <v>3.0505420816235</v>
      </c>
      <c r="M3" s="6">
        <v>3.0505420816235</v>
      </c>
      <c r="N3" s="6">
        <v>0.0</v>
      </c>
      <c r="O3" s="6">
        <v>0.0</v>
      </c>
      <c r="P3" s="6">
        <v>0.0</v>
      </c>
      <c r="Q3" s="6">
        <v>419.92920833711</v>
      </c>
    </row>
    <row r="4">
      <c r="A4" s="6">
        <v>2.0</v>
      </c>
      <c r="B4" s="7">
        <v>45664.0</v>
      </c>
      <c r="C4" s="6">
        <v>414.792744678531</v>
      </c>
      <c r="D4" s="6">
        <v>380.896419684979</v>
      </c>
      <c r="E4" s="6">
        <v>450.410437007374</v>
      </c>
      <c r="F4" s="6">
        <v>414.792744678531</v>
      </c>
      <c r="G4" s="6">
        <v>414.792744678531</v>
      </c>
      <c r="H4" s="6">
        <v>2.33751047960691</v>
      </c>
      <c r="I4" s="6">
        <v>2.33751047960691</v>
      </c>
      <c r="J4" s="6">
        <v>2.33751047960691</v>
      </c>
      <c r="K4" s="6">
        <v>2.33751047960691</v>
      </c>
      <c r="L4" s="6">
        <v>2.33751047960691</v>
      </c>
      <c r="M4" s="6">
        <v>2.33751047960691</v>
      </c>
      <c r="N4" s="6">
        <v>0.0</v>
      </c>
      <c r="O4" s="6">
        <v>0.0</v>
      </c>
      <c r="P4" s="6">
        <v>0.0</v>
      </c>
      <c r="Q4" s="6">
        <v>417.130255158138</v>
      </c>
    </row>
    <row r="5">
      <c r="A5" s="6">
        <v>3.0</v>
      </c>
      <c r="B5" s="7">
        <v>45665.0</v>
      </c>
      <c r="C5" s="6">
        <v>412.706823101575</v>
      </c>
      <c r="D5" s="6">
        <v>382.863996965503</v>
      </c>
      <c r="E5" s="6">
        <v>454.70517949814</v>
      </c>
      <c r="F5" s="6">
        <v>412.706823101575</v>
      </c>
      <c r="G5" s="6">
        <v>412.706823101575</v>
      </c>
      <c r="H5" s="6">
        <v>5.01607185170093</v>
      </c>
      <c r="I5" s="6">
        <v>5.01607185170093</v>
      </c>
      <c r="J5" s="6">
        <v>5.01607185170093</v>
      </c>
      <c r="K5" s="6">
        <v>5.01607185170093</v>
      </c>
      <c r="L5" s="6">
        <v>5.01607185170093</v>
      </c>
      <c r="M5" s="6">
        <v>5.01607185170093</v>
      </c>
      <c r="N5" s="6">
        <v>0.0</v>
      </c>
      <c r="O5" s="6">
        <v>0.0</v>
      </c>
      <c r="P5" s="6">
        <v>0.0</v>
      </c>
      <c r="Q5" s="6">
        <v>417.722894953276</v>
      </c>
    </row>
    <row r="6">
      <c r="A6" s="6">
        <v>4.0</v>
      </c>
      <c r="B6" s="7">
        <v>45667.0</v>
      </c>
      <c r="C6" s="6">
        <v>408.534979947663</v>
      </c>
      <c r="D6" s="6">
        <v>373.800481013878</v>
      </c>
      <c r="E6" s="6">
        <v>448.960812050896</v>
      </c>
      <c r="F6" s="6">
        <v>408.534979947663</v>
      </c>
      <c r="G6" s="6">
        <v>408.534979947663</v>
      </c>
      <c r="H6" s="6">
        <v>2.5695843584193</v>
      </c>
      <c r="I6" s="6">
        <v>2.5695843584193</v>
      </c>
      <c r="J6" s="6">
        <v>2.5695843584193</v>
      </c>
      <c r="K6" s="6">
        <v>2.5695843584193</v>
      </c>
      <c r="L6" s="6">
        <v>2.5695843584193</v>
      </c>
      <c r="M6" s="6">
        <v>2.5695843584193</v>
      </c>
      <c r="N6" s="6">
        <v>0.0</v>
      </c>
      <c r="O6" s="6">
        <v>0.0</v>
      </c>
      <c r="P6" s="6">
        <v>0.0</v>
      </c>
      <c r="Q6" s="6">
        <v>411.104564306082</v>
      </c>
    </row>
    <row r="7">
      <c r="A7" s="6">
        <v>5.0</v>
      </c>
      <c r="B7" s="7">
        <v>45670.0</v>
      </c>
      <c r="C7" s="6">
        <v>402.277215216795</v>
      </c>
      <c r="D7" s="6">
        <v>369.297436504009</v>
      </c>
      <c r="E7" s="6">
        <v>441.546823049685</v>
      </c>
      <c r="F7" s="6">
        <v>402.277215216795</v>
      </c>
      <c r="G7" s="6">
        <v>402.277215216795</v>
      </c>
      <c r="H7" s="6">
        <v>3.05054208161832</v>
      </c>
      <c r="I7" s="6">
        <v>3.05054208161832</v>
      </c>
      <c r="J7" s="6">
        <v>3.05054208161832</v>
      </c>
      <c r="K7" s="6">
        <v>3.05054208161832</v>
      </c>
      <c r="L7" s="6">
        <v>3.05054208161832</v>
      </c>
      <c r="M7" s="6">
        <v>3.05054208161832</v>
      </c>
      <c r="N7" s="6">
        <v>0.0</v>
      </c>
      <c r="O7" s="6">
        <v>0.0</v>
      </c>
      <c r="P7" s="6">
        <v>0.0</v>
      </c>
      <c r="Q7" s="6">
        <v>405.327757298413</v>
      </c>
    </row>
    <row r="8">
      <c r="A8" s="6">
        <v>6.0</v>
      </c>
      <c r="B8" s="7">
        <v>45671.0</v>
      </c>
      <c r="C8" s="6">
        <v>400.191293639839</v>
      </c>
      <c r="D8" s="6">
        <v>367.83062142863</v>
      </c>
      <c r="E8" s="6">
        <v>438.609076614603</v>
      </c>
      <c r="F8" s="6">
        <v>400.191293639839</v>
      </c>
      <c r="G8" s="6">
        <v>400.191293639839</v>
      </c>
      <c r="H8" s="6">
        <v>2.33751047961194</v>
      </c>
      <c r="I8" s="6">
        <v>2.33751047961194</v>
      </c>
      <c r="J8" s="6">
        <v>2.33751047961194</v>
      </c>
      <c r="K8" s="6">
        <v>2.33751047961194</v>
      </c>
      <c r="L8" s="6">
        <v>2.33751047961194</v>
      </c>
      <c r="M8" s="6">
        <v>2.33751047961194</v>
      </c>
      <c r="N8" s="6">
        <v>0.0</v>
      </c>
      <c r="O8" s="6">
        <v>0.0</v>
      </c>
      <c r="P8" s="6">
        <v>0.0</v>
      </c>
      <c r="Q8" s="6">
        <v>402.528804119451</v>
      </c>
    </row>
    <row r="9">
      <c r="A9" s="6">
        <v>7.0</v>
      </c>
      <c r="B9" s="7">
        <v>45672.0</v>
      </c>
      <c r="C9" s="6">
        <v>398.105372062883</v>
      </c>
      <c r="D9" s="6">
        <v>368.817059598559</v>
      </c>
      <c r="E9" s="6">
        <v>436.976626258102</v>
      </c>
      <c r="F9" s="6">
        <v>398.105372062883</v>
      </c>
      <c r="G9" s="6">
        <v>398.105372062883</v>
      </c>
      <c r="H9" s="6">
        <v>5.01607185170044</v>
      </c>
      <c r="I9" s="6">
        <v>5.01607185170044</v>
      </c>
      <c r="J9" s="6">
        <v>5.01607185170044</v>
      </c>
      <c r="K9" s="6">
        <v>5.01607185170044</v>
      </c>
      <c r="L9" s="6">
        <v>5.01607185170044</v>
      </c>
      <c r="M9" s="6">
        <v>5.01607185170044</v>
      </c>
      <c r="N9" s="6">
        <v>0.0</v>
      </c>
      <c r="O9" s="6">
        <v>0.0</v>
      </c>
      <c r="P9" s="6">
        <v>0.0</v>
      </c>
      <c r="Q9" s="6">
        <v>403.121443914583</v>
      </c>
    </row>
    <row r="10">
      <c r="A10" s="6">
        <v>8.0</v>
      </c>
      <c r="B10" s="7">
        <v>45673.0</v>
      </c>
      <c r="C10" s="6">
        <v>396.019450485927</v>
      </c>
      <c r="D10" s="6">
        <v>363.054095969264</v>
      </c>
      <c r="E10" s="6">
        <v>432.510158341238</v>
      </c>
      <c r="F10" s="6">
        <v>396.019450485927</v>
      </c>
      <c r="G10" s="6">
        <v>396.019450485927</v>
      </c>
      <c r="H10" s="6">
        <v>1.35058742613569</v>
      </c>
      <c r="I10" s="6">
        <v>1.35058742613569</v>
      </c>
      <c r="J10" s="6">
        <v>1.35058742613569</v>
      </c>
      <c r="K10" s="6">
        <v>1.35058742613569</v>
      </c>
      <c r="L10" s="6">
        <v>1.35058742613569</v>
      </c>
      <c r="M10" s="6">
        <v>1.35058742613569</v>
      </c>
      <c r="N10" s="6">
        <v>0.0</v>
      </c>
      <c r="O10" s="6">
        <v>0.0</v>
      </c>
      <c r="P10" s="6">
        <v>0.0</v>
      </c>
      <c r="Q10" s="6">
        <v>397.370037912063</v>
      </c>
    </row>
    <row r="11">
      <c r="A11" s="6">
        <v>9.0</v>
      </c>
      <c r="B11" s="7">
        <v>45674.0</v>
      </c>
      <c r="C11" s="6">
        <v>393.933528918206</v>
      </c>
      <c r="D11" s="6">
        <v>361.558816000266</v>
      </c>
      <c r="E11" s="6">
        <v>432.217856012904</v>
      </c>
      <c r="F11" s="6">
        <v>393.933528918206</v>
      </c>
      <c r="G11" s="6">
        <v>393.933528918206</v>
      </c>
      <c r="H11" s="6">
        <v>2.56958435839787</v>
      </c>
      <c r="I11" s="6">
        <v>2.56958435839787</v>
      </c>
      <c r="J11" s="6">
        <v>2.56958435839787</v>
      </c>
      <c r="K11" s="6">
        <v>2.56958435839787</v>
      </c>
      <c r="L11" s="6">
        <v>2.56958435839787</v>
      </c>
      <c r="M11" s="6">
        <v>2.56958435839787</v>
      </c>
      <c r="N11" s="6">
        <v>0.0</v>
      </c>
      <c r="O11" s="6">
        <v>0.0</v>
      </c>
      <c r="P11" s="6">
        <v>0.0</v>
      </c>
      <c r="Q11" s="6">
        <v>396.503113276604</v>
      </c>
    </row>
    <row r="12">
      <c r="A12" s="6">
        <v>10.0</v>
      </c>
      <c r="B12" s="7">
        <v>45678.0</v>
      </c>
      <c r="C12" s="6">
        <v>385.589842647325</v>
      </c>
      <c r="D12" s="6">
        <v>354.229037819857</v>
      </c>
      <c r="E12" s="6">
        <v>423.499222356002</v>
      </c>
      <c r="F12" s="6">
        <v>385.589842647325</v>
      </c>
      <c r="G12" s="6">
        <v>385.589842647325</v>
      </c>
      <c r="H12" s="6">
        <v>2.33751047961697</v>
      </c>
      <c r="I12" s="6">
        <v>2.33751047961697</v>
      </c>
      <c r="J12" s="6">
        <v>2.33751047961697</v>
      </c>
      <c r="K12" s="6">
        <v>2.33751047961697</v>
      </c>
      <c r="L12" s="6">
        <v>2.33751047961697</v>
      </c>
      <c r="M12" s="6">
        <v>2.33751047961697</v>
      </c>
      <c r="N12" s="6">
        <v>0.0</v>
      </c>
      <c r="O12" s="6">
        <v>0.0</v>
      </c>
      <c r="P12" s="6">
        <v>0.0</v>
      </c>
      <c r="Q12" s="6">
        <v>387.927353126942</v>
      </c>
    </row>
    <row r="13">
      <c r="A13" s="6">
        <v>11.0</v>
      </c>
      <c r="B13" s="7">
        <v>45679.0</v>
      </c>
      <c r="C13" s="6">
        <v>383.503921079604</v>
      </c>
      <c r="D13" s="6">
        <v>352.784355401515</v>
      </c>
      <c r="E13" s="6">
        <v>422.520992304075</v>
      </c>
      <c r="F13" s="6">
        <v>383.503921079604</v>
      </c>
      <c r="G13" s="6">
        <v>383.503921079604</v>
      </c>
      <c r="H13" s="6">
        <v>5.01607185169984</v>
      </c>
      <c r="I13" s="6">
        <v>5.01607185169984</v>
      </c>
      <c r="J13" s="6">
        <v>5.01607185169984</v>
      </c>
      <c r="K13" s="6">
        <v>5.01607185169984</v>
      </c>
      <c r="L13" s="6">
        <v>5.01607185169984</v>
      </c>
      <c r="M13" s="6">
        <v>5.01607185169984</v>
      </c>
      <c r="N13" s="6">
        <v>0.0</v>
      </c>
      <c r="O13" s="6">
        <v>0.0</v>
      </c>
      <c r="P13" s="6">
        <v>0.0</v>
      </c>
      <c r="Q13" s="6">
        <v>388.519992931304</v>
      </c>
    </row>
    <row r="14">
      <c r="A14" s="6">
        <v>12.0</v>
      </c>
      <c r="B14" s="7">
        <v>45680.0</v>
      </c>
      <c r="C14" s="6">
        <v>381.417999511884</v>
      </c>
      <c r="D14" s="6">
        <v>348.317145401239</v>
      </c>
      <c r="E14" s="6">
        <v>418.466372067559</v>
      </c>
      <c r="F14" s="6">
        <v>381.417999511884</v>
      </c>
      <c r="G14" s="6">
        <v>381.417999511884</v>
      </c>
      <c r="H14" s="6">
        <v>1.35058742613811</v>
      </c>
      <c r="I14" s="6">
        <v>1.35058742613811</v>
      </c>
      <c r="J14" s="6">
        <v>1.35058742613811</v>
      </c>
      <c r="K14" s="6">
        <v>1.35058742613811</v>
      </c>
      <c r="L14" s="6">
        <v>1.35058742613811</v>
      </c>
      <c r="M14" s="6">
        <v>1.35058742613811</v>
      </c>
      <c r="N14" s="6">
        <v>0.0</v>
      </c>
      <c r="O14" s="6">
        <v>0.0</v>
      </c>
      <c r="P14" s="6">
        <v>0.0</v>
      </c>
      <c r="Q14" s="6">
        <v>382.768586938022</v>
      </c>
    </row>
    <row r="15">
      <c r="A15" s="6">
        <v>13.0</v>
      </c>
      <c r="B15" s="7">
        <v>45681.0</v>
      </c>
      <c r="C15" s="6">
        <v>379.332077944164</v>
      </c>
      <c r="D15" s="6">
        <v>349.557515587721</v>
      </c>
      <c r="E15" s="6">
        <v>415.94483428275</v>
      </c>
      <c r="F15" s="6">
        <v>379.332077944164</v>
      </c>
      <c r="G15" s="6">
        <v>379.332077944164</v>
      </c>
      <c r="H15" s="6">
        <v>2.56958435840355</v>
      </c>
      <c r="I15" s="6">
        <v>2.56958435840355</v>
      </c>
      <c r="J15" s="6">
        <v>2.56958435840355</v>
      </c>
      <c r="K15" s="6">
        <v>2.56958435840355</v>
      </c>
      <c r="L15" s="6">
        <v>2.56958435840355</v>
      </c>
      <c r="M15" s="6">
        <v>2.56958435840355</v>
      </c>
      <c r="N15" s="6">
        <v>0.0</v>
      </c>
      <c r="O15" s="6">
        <v>0.0</v>
      </c>
      <c r="P15" s="6">
        <v>0.0</v>
      </c>
      <c r="Q15" s="6">
        <v>381.901662302567</v>
      </c>
    </row>
    <row r="16">
      <c r="A16" s="6">
        <v>14.0</v>
      </c>
      <c r="B16" s="7">
        <v>45684.0</v>
      </c>
      <c r="C16" s="6">
        <v>373.074313241003</v>
      </c>
      <c r="D16" s="6">
        <v>340.133602980478</v>
      </c>
      <c r="E16" s="6">
        <v>409.713740864967</v>
      </c>
      <c r="F16" s="6">
        <v>373.074313241003</v>
      </c>
      <c r="G16" s="6">
        <v>373.074313241003</v>
      </c>
      <c r="H16" s="6">
        <v>3.05054208159191</v>
      </c>
      <c r="I16" s="6">
        <v>3.05054208159191</v>
      </c>
      <c r="J16" s="6">
        <v>3.05054208159191</v>
      </c>
      <c r="K16" s="6">
        <v>3.05054208159191</v>
      </c>
      <c r="L16" s="6">
        <v>3.05054208159191</v>
      </c>
      <c r="M16" s="6">
        <v>3.05054208159191</v>
      </c>
      <c r="N16" s="6">
        <v>0.0</v>
      </c>
      <c r="O16" s="6">
        <v>0.0</v>
      </c>
      <c r="P16" s="6">
        <v>0.0</v>
      </c>
      <c r="Q16" s="6">
        <v>376.124855322594</v>
      </c>
    </row>
    <row r="17">
      <c r="A17" s="6">
        <v>15.0</v>
      </c>
      <c r="B17" s="7">
        <v>45685.0</v>
      </c>
      <c r="C17" s="6">
        <v>370.988391673282</v>
      </c>
      <c r="D17" s="6">
        <v>338.70952120991</v>
      </c>
      <c r="E17" s="6">
        <v>408.211904503917</v>
      </c>
      <c r="F17" s="6">
        <v>370.988391673282</v>
      </c>
      <c r="G17" s="6">
        <v>370.988391673282</v>
      </c>
      <c r="H17" s="6">
        <v>2.33751047960667</v>
      </c>
      <c r="I17" s="6">
        <v>2.33751047960667</v>
      </c>
      <c r="J17" s="6">
        <v>2.33751047960667</v>
      </c>
      <c r="K17" s="6">
        <v>2.33751047960667</v>
      </c>
      <c r="L17" s="6">
        <v>2.33751047960667</v>
      </c>
      <c r="M17" s="6">
        <v>2.33751047960667</v>
      </c>
      <c r="N17" s="6">
        <v>0.0</v>
      </c>
      <c r="O17" s="6">
        <v>0.0</v>
      </c>
      <c r="P17" s="6">
        <v>0.0</v>
      </c>
      <c r="Q17" s="6">
        <v>373.325902152889</v>
      </c>
    </row>
    <row r="18">
      <c r="A18" s="6">
        <v>16.0</v>
      </c>
      <c r="B18" s="7">
        <v>45686.0</v>
      </c>
      <c r="C18" s="6">
        <v>368.902470105562</v>
      </c>
      <c r="D18" s="6">
        <v>339.895941473882</v>
      </c>
      <c r="E18" s="6">
        <v>410.787537294629</v>
      </c>
      <c r="F18" s="6">
        <v>368.902470105562</v>
      </c>
      <c r="G18" s="6">
        <v>368.902470105562</v>
      </c>
      <c r="H18" s="6">
        <v>5.01607185169945</v>
      </c>
      <c r="I18" s="6">
        <v>5.01607185169945</v>
      </c>
      <c r="J18" s="6">
        <v>5.01607185169945</v>
      </c>
      <c r="K18" s="6">
        <v>5.01607185169945</v>
      </c>
      <c r="L18" s="6">
        <v>5.01607185169945</v>
      </c>
      <c r="M18" s="6">
        <v>5.01607185169945</v>
      </c>
      <c r="N18" s="6">
        <v>0.0</v>
      </c>
      <c r="O18" s="6">
        <v>0.0</v>
      </c>
      <c r="P18" s="6">
        <v>0.0</v>
      </c>
      <c r="Q18" s="6">
        <v>373.918541957261</v>
      </c>
    </row>
    <row r="19">
      <c r="A19" s="6">
        <v>17.0</v>
      </c>
      <c r="B19" s="7">
        <v>45687.0</v>
      </c>
      <c r="C19" s="6">
        <v>366.816548540967</v>
      </c>
      <c r="D19" s="6">
        <v>331.422230736415</v>
      </c>
      <c r="E19" s="6">
        <v>405.236644536725</v>
      </c>
      <c r="F19" s="6">
        <v>366.816548540967</v>
      </c>
      <c r="G19" s="6">
        <v>366.816548540967</v>
      </c>
      <c r="H19" s="6">
        <v>1.35058742614053</v>
      </c>
      <c r="I19" s="6">
        <v>1.35058742614053</v>
      </c>
      <c r="J19" s="6">
        <v>1.35058742614053</v>
      </c>
      <c r="K19" s="6">
        <v>1.35058742614053</v>
      </c>
      <c r="L19" s="6">
        <v>1.35058742614053</v>
      </c>
      <c r="M19" s="6">
        <v>1.35058742614053</v>
      </c>
      <c r="N19" s="6">
        <v>0.0</v>
      </c>
      <c r="O19" s="6">
        <v>0.0</v>
      </c>
      <c r="P19" s="6">
        <v>0.0</v>
      </c>
      <c r="Q19" s="6">
        <v>368.167135967108</v>
      </c>
    </row>
    <row r="20">
      <c r="A20" s="6">
        <v>18.0</v>
      </c>
      <c r="B20" s="7">
        <v>45688.0</v>
      </c>
      <c r="C20" s="6">
        <v>364.730626976372</v>
      </c>
      <c r="D20" s="6">
        <v>330.988052161657</v>
      </c>
      <c r="E20" s="6">
        <v>402.4717459355</v>
      </c>
      <c r="F20" s="6">
        <v>364.730626976372</v>
      </c>
      <c r="G20" s="6">
        <v>364.730626976372</v>
      </c>
      <c r="H20" s="6">
        <v>2.56958435842204</v>
      </c>
      <c r="I20" s="6">
        <v>2.56958435842204</v>
      </c>
      <c r="J20" s="6">
        <v>2.56958435842204</v>
      </c>
      <c r="K20" s="6">
        <v>2.56958435842204</v>
      </c>
      <c r="L20" s="6">
        <v>2.56958435842204</v>
      </c>
      <c r="M20" s="6">
        <v>2.56958435842204</v>
      </c>
      <c r="N20" s="6">
        <v>0.0</v>
      </c>
      <c r="O20" s="6">
        <v>0.0</v>
      </c>
      <c r="P20" s="6">
        <v>0.0</v>
      </c>
      <c r="Q20" s="6">
        <v>367.300211334795</v>
      </c>
    </row>
    <row r="21">
      <c r="A21" s="6">
        <v>19.0</v>
      </c>
      <c r="B21" s="7">
        <v>45691.0</v>
      </c>
      <c r="C21" s="6">
        <v>358.472862282589</v>
      </c>
      <c r="D21" s="6">
        <v>326.126203478205</v>
      </c>
      <c r="E21" s="6">
        <v>395.731022942387</v>
      </c>
      <c r="F21" s="6">
        <v>358.472862282589</v>
      </c>
      <c r="G21" s="6">
        <v>358.472862282589</v>
      </c>
      <c r="H21" s="6">
        <v>3.05054208160043</v>
      </c>
      <c r="I21" s="6">
        <v>3.05054208160043</v>
      </c>
      <c r="J21" s="6">
        <v>3.05054208160043</v>
      </c>
      <c r="K21" s="6">
        <v>3.05054208160043</v>
      </c>
      <c r="L21" s="6">
        <v>3.05054208160043</v>
      </c>
      <c r="M21" s="6">
        <v>3.05054208160043</v>
      </c>
      <c r="N21" s="6">
        <v>0.0</v>
      </c>
      <c r="O21" s="6">
        <v>0.0</v>
      </c>
      <c r="P21" s="6">
        <v>0.0</v>
      </c>
      <c r="Q21" s="6">
        <v>361.523404364189</v>
      </c>
    </row>
    <row r="22">
      <c r="A22" s="6">
        <v>20.0</v>
      </c>
      <c r="B22" s="7">
        <v>45692.0</v>
      </c>
      <c r="C22" s="6">
        <v>356.386940717994</v>
      </c>
      <c r="D22" s="6">
        <v>323.421319813263</v>
      </c>
      <c r="E22" s="6">
        <v>393.506083886926</v>
      </c>
      <c r="F22" s="6">
        <v>356.386940717994</v>
      </c>
      <c r="G22" s="6">
        <v>356.386940717994</v>
      </c>
      <c r="H22" s="6">
        <v>2.3375104796166</v>
      </c>
      <c r="I22" s="6">
        <v>2.3375104796166</v>
      </c>
      <c r="J22" s="6">
        <v>2.3375104796166</v>
      </c>
      <c r="K22" s="6">
        <v>2.3375104796166</v>
      </c>
      <c r="L22" s="6">
        <v>2.3375104796166</v>
      </c>
      <c r="M22" s="6">
        <v>2.3375104796166</v>
      </c>
      <c r="N22" s="6">
        <v>0.0</v>
      </c>
      <c r="O22" s="6">
        <v>0.0</v>
      </c>
      <c r="P22" s="6">
        <v>0.0</v>
      </c>
      <c r="Q22" s="6">
        <v>358.72445119761</v>
      </c>
    </row>
    <row r="23">
      <c r="A23" s="6">
        <v>21.0</v>
      </c>
      <c r="B23" s="7">
        <v>45693.0</v>
      </c>
      <c r="C23" s="6">
        <v>354.301019153399</v>
      </c>
      <c r="D23" s="6">
        <v>325.914422676141</v>
      </c>
      <c r="E23" s="6">
        <v>392.692827461954</v>
      </c>
      <c r="F23" s="6">
        <v>354.301019153399</v>
      </c>
      <c r="G23" s="6">
        <v>354.301019153399</v>
      </c>
      <c r="H23" s="6">
        <v>5.0160718517017</v>
      </c>
      <c r="I23" s="6">
        <v>5.0160718517017</v>
      </c>
      <c r="J23" s="6">
        <v>5.0160718517017</v>
      </c>
      <c r="K23" s="6">
        <v>5.0160718517017</v>
      </c>
      <c r="L23" s="6">
        <v>5.0160718517017</v>
      </c>
      <c r="M23" s="6">
        <v>5.0160718517017</v>
      </c>
      <c r="N23" s="6">
        <v>0.0</v>
      </c>
      <c r="O23" s="6">
        <v>0.0</v>
      </c>
      <c r="P23" s="6">
        <v>0.0</v>
      </c>
      <c r="Q23" s="6">
        <v>359.317091005101</v>
      </c>
    </row>
    <row r="24">
      <c r="A24" s="6">
        <v>22.0</v>
      </c>
      <c r="B24" s="7">
        <v>45694.0</v>
      </c>
      <c r="C24" s="6">
        <v>352.215097588805</v>
      </c>
      <c r="D24" s="6">
        <v>319.099520036624</v>
      </c>
      <c r="E24" s="6">
        <v>387.496548852809</v>
      </c>
      <c r="F24" s="6">
        <v>352.215097588805</v>
      </c>
      <c r="G24" s="6">
        <v>352.215097588805</v>
      </c>
      <c r="H24" s="6">
        <v>1.35058742614296</v>
      </c>
      <c r="I24" s="6">
        <v>1.35058742614296</v>
      </c>
      <c r="J24" s="6">
        <v>1.35058742614296</v>
      </c>
      <c r="K24" s="6">
        <v>1.35058742614296</v>
      </c>
      <c r="L24" s="6">
        <v>1.35058742614296</v>
      </c>
      <c r="M24" s="6">
        <v>1.35058742614296</v>
      </c>
      <c r="N24" s="6">
        <v>0.0</v>
      </c>
      <c r="O24" s="6">
        <v>0.0</v>
      </c>
      <c r="P24" s="6">
        <v>0.0</v>
      </c>
      <c r="Q24" s="6">
        <v>353.565685014948</v>
      </c>
    </row>
    <row r="25">
      <c r="A25" s="6">
        <v>23.0</v>
      </c>
      <c r="B25" s="7">
        <v>45695.0</v>
      </c>
      <c r="C25" s="6">
        <v>350.12917602421</v>
      </c>
      <c r="D25" s="6">
        <v>316.561168084359</v>
      </c>
      <c r="E25" s="6">
        <v>385.854623759055</v>
      </c>
      <c r="F25" s="6">
        <v>350.12917602421</v>
      </c>
      <c r="G25" s="6">
        <v>350.12917602421</v>
      </c>
      <c r="H25" s="6">
        <v>2.56958435842773</v>
      </c>
      <c r="I25" s="6">
        <v>2.56958435842773</v>
      </c>
      <c r="J25" s="6">
        <v>2.56958435842773</v>
      </c>
      <c r="K25" s="6">
        <v>2.56958435842773</v>
      </c>
      <c r="L25" s="6">
        <v>2.56958435842773</v>
      </c>
      <c r="M25" s="6">
        <v>2.56958435842773</v>
      </c>
      <c r="N25" s="6">
        <v>0.0</v>
      </c>
      <c r="O25" s="6">
        <v>0.0</v>
      </c>
      <c r="P25" s="6">
        <v>0.0</v>
      </c>
      <c r="Q25" s="6">
        <v>352.698760382638</v>
      </c>
    </row>
    <row r="26">
      <c r="A26" s="6">
        <v>24.0</v>
      </c>
      <c r="B26" s="7">
        <v>45698.0</v>
      </c>
      <c r="C26" s="6">
        <v>343.871411330426</v>
      </c>
      <c r="D26" s="6">
        <v>311.806824157877</v>
      </c>
      <c r="E26" s="6">
        <v>381.785250379497</v>
      </c>
      <c r="F26" s="6">
        <v>343.871411330426</v>
      </c>
      <c r="G26" s="6">
        <v>343.871411330426</v>
      </c>
      <c r="H26" s="6">
        <v>3.05054208160895</v>
      </c>
      <c r="I26" s="6">
        <v>3.05054208160895</v>
      </c>
      <c r="J26" s="6">
        <v>3.05054208160895</v>
      </c>
      <c r="K26" s="6">
        <v>3.05054208160895</v>
      </c>
      <c r="L26" s="6">
        <v>3.05054208160895</v>
      </c>
      <c r="M26" s="6">
        <v>3.05054208160895</v>
      </c>
      <c r="N26" s="6">
        <v>0.0</v>
      </c>
      <c r="O26" s="6">
        <v>0.0</v>
      </c>
      <c r="P26" s="6">
        <v>0.0</v>
      </c>
      <c r="Q26" s="6">
        <v>346.921953412035</v>
      </c>
    </row>
    <row r="27">
      <c r="A27" s="6">
        <v>25.0</v>
      </c>
      <c r="B27" s="7">
        <v>45699.0</v>
      </c>
      <c r="C27" s="6">
        <v>341.785489792664</v>
      </c>
      <c r="D27" s="6">
        <v>309.590259150204</v>
      </c>
      <c r="E27" s="6">
        <v>378.336598818596</v>
      </c>
      <c r="F27" s="6">
        <v>341.785489792664</v>
      </c>
      <c r="G27" s="6">
        <v>341.785489792664</v>
      </c>
      <c r="H27" s="6">
        <v>2.3375104796063</v>
      </c>
      <c r="I27" s="6">
        <v>2.3375104796063</v>
      </c>
      <c r="J27" s="6">
        <v>2.3375104796063</v>
      </c>
      <c r="K27" s="6">
        <v>2.3375104796063</v>
      </c>
      <c r="L27" s="6">
        <v>2.3375104796063</v>
      </c>
      <c r="M27" s="6">
        <v>2.3375104796063</v>
      </c>
      <c r="N27" s="6">
        <v>0.0</v>
      </c>
      <c r="O27" s="6">
        <v>0.0</v>
      </c>
      <c r="P27" s="6">
        <v>0.0</v>
      </c>
      <c r="Q27" s="6">
        <v>344.12300027227</v>
      </c>
    </row>
    <row r="28">
      <c r="A28" s="6">
        <v>26.0</v>
      </c>
      <c r="B28" s="7">
        <v>45700.0</v>
      </c>
      <c r="C28" s="6">
        <v>339.699568254901</v>
      </c>
      <c r="D28" s="6">
        <v>310.13183627204</v>
      </c>
      <c r="E28" s="6">
        <v>380.526977748491</v>
      </c>
      <c r="F28" s="6">
        <v>339.699568254901</v>
      </c>
      <c r="G28" s="6">
        <v>339.699568254901</v>
      </c>
      <c r="H28" s="6">
        <v>5.01607185170121</v>
      </c>
      <c r="I28" s="6">
        <v>5.01607185170121</v>
      </c>
      <c r="J28" s="6">
        <v>5.01607185170121</v>
      </c>
      <c r="K28" s="6">
        <v>5.01607185170121</v>
      </c>
      <c r="L28" s="6">
        <v>5.01607185170121</v>
      </c>
      <c r="M28" s="6">
        <v>5.01607185170121</v>
      </c>
      <c r="N28" s="6">
        <v>0.0</v>
      </c>
      <c r="O28" s="6">
        <v>0.0</v>
      </c>
      <c r="P28" s="6">
        <v>0.0</v>
      </c>
      <c r="Q28" s="6">
        <v>344.715640106603</v>
      </c>
    </row>
    <row r="29">
      <c r="A29" s="6">
        <v>27.0</v>
      </c>
      <c r="B29" s="7">
        <v>45701.0</v>
      </c>
      <c r="C29" s="6">
        <v>337.613646717139</v>
      </c>
      <c r="D29" s="6">
        <v>305.41598241887</v>
      </c>
      <c r="E29" s="6">
        <v>372.329361815971</v>
      </c>
      <c r="F29" s="6">
        <v>337.613646717139</v>
      </c>
      <c r="G29" s="6">
        <v>337.613646717139</v>
      </c>
      <c r="H29" s="6">
        <v>1.35058742613792</v>
      </c>
      <c r="I29" s="6">
        <v>1.35058742613792</v>
      </c>
      <c r="J29" s="6">
        <v>1.35058742613792</v>
      </c>
      <c r="K29" s="6">
        <v>1.35058742613792</v>
      </c>
      <c r="L29" s="6">
        <v>1.35058742613792</v>
      </c>
      <c r="M29" s="6">
        <v>1.35058742613792</v>
      </c>
      <c r="N29" s="6">
        <v>0.0</v>
      </c>
      <c r="O29" s="6">
        <v>0.0</v>
      </c>
      <c r="P29" s="6">
        <v>0.0</v>
      </c>
      <c r="Q29" s="6">
        <v>338.964234143277</v>
      </c>
    </row>
    <row r="30">
      <c r="A30" s="6">
        <v>28.0</v>
      </c>
      <c r="B30" s="7">
        <v>45702.0</v>
      </c>
      <c r="C30" s="6">
        <v>335.527725179377</v>
      </c>
      <c r="D30" s="6">
        <v>304.796598996796</v>
      </c>
      <c r="E30" s="6">
        <v>373.602387448434</v>
      </c>
      <c r="F30" s="6">
        <v>335.527725179377</v>
      </c>
      <c r="G30" s="6">
        <v>335.527725179377</v>
      </c>
      <c r="H30" s="6">
        <v>2.56958435841985</v>
      </c>
      <c r="I30" s="6">
        <v>2.56958435841985</v>
      </c>
      <c r="J30" s="6">
        <v>2.56958435841985</v>
      </c>
      <c r="K30" s="6">
        <v>2.56958435841985</v>
      </c>
      <c r="L30" s="6">
        <v>2.56958435841985</v>
      </c>
      <c r="M30" s="6">
        <v>2.56958435841985</v>
      </c>
      <c r="N30" s="6">
        <v>0.0</v>
      </c>
      <c r="O30" s="6">
        <v>0.0</v>
      </c>
      <c r="P30" s="6">
        <v>0.0</v>
      </c>
      <c r="Q30" s="6">
        <v>338.097309537797</v>
      </c>
    </row>
    <row r="31">
      <c r="A31" s="6">
        <v>29.0</v>
      </c>
      <c r="B31" s="7">
        <v>45706.0</v>
      </c>
      <c r="C31" s="6">
        <v>327.184039028327</v>
      </c>
      <c r="D31" s="6">
        <v>291.328213324413</v>
      </c>
      <c r="E31" s="6">
        <v>365.091124533338</v>
      </c>
      <c r="F31" s="6">
        <v>327.184039028327</v>
      </c>
      <c r="G31" s="6">
        <v>327.184039028327</v>
      </c>
      <c r="H31" s="6">
        <v>2.33751047961133</v>
      </c>
      <c r="I31" s="6">
        <v>2.33751047961133</v>
      </c>
      <c r="J31" s="6">
        <v>2.33751047961133</v>
      </c>
      <c r="K31" s="6">
        <v>2.33751047961133</v>
      </c>
      <c r="L31" s="6">
        <v>2.33751047961133</v>
      </c>
      <c r="M31" s="6">
        <v>2.33751047961133</v>
      </c>
      <c r="N31" s="6">
        <v>0.0</v>
      </c>
      <c r="O31" s="6">
        <v>0.0</v>
      </c>
      <c r="P31" s="6">
        <v>0.0</v>
      </c>
      <c r="Q31" s="6">
        <v>329.521549507939</v>
      </c>
    </row>
    <row r="32">
      <c r="A32" s="6">
        <v>30.0</v>
      </c>
      <c r="B32" s="7">
        <v>45707.0</v>
      </c>
      <c r="C32" s="6">
        <v>325.098117490565</v>
      </c>
      <c r="D32" s="6">
        <v>295.693112665213</v>
      </c>
      <c r="E32" s="6">
        <v>364.317813563202</v>
      </c>
      <c r="F32" s="6">
        <v>325.098117490565</v>
      </c>
      <c r="G32" s="6">
        <v>325.098117490565</v>
      </c>
      <c r="H32" s="6">
        <v>5.01607185170061</v>
      </c>
      <c r="I32" s="6">
        <v>5.01607185170061</v>
      </c>
      <c r="J32" s="6">
        <v>5.01607185170061</v>
      </c>
      <c r="K32" s="6">
        <v>5.01607185170061</v>
      </c>
      <c r="L32" s="6">
        <v>5.01607185170061</v>
      </c>
      <c r="M32" s="6">
        <v>5.01607185170061</v>
      </c>
      <c r="N32" s="6">
        <v>0.0</v>
      </c>
      <c r="O32" s="6">
        <v>0.0</v>
      </c>
      <c r="P32" s="6">
        <v>0.0</v>
      </c>
      <c r="Q32" s="6">
        <v>330.114189342266</v>
      </c>
    </row>
    <row r="33">
      <c r="A33" s="6">
        <v>31.0</v>
      </c>
      <c r="B33" s="7">
        <v>45708.0</v>
      </c>
      <c r="C33" s="6">
        <v>323.012195952803</v>
      </c>
      <c r="D33" s="6">
        <v>289.956018261875</v>
      </c>
      <c r="E33" s="6">
        <v>361.244386600048</v>
      </c>
      <c r="F33" s="6">
        <v>323.012195952803</v>
      </c>
      <c r="G33" s="6">
        <v>323.012195952803</v>
      </c>
      <c r="H33" s="6">
        <v>1.3505874261478</v>
      </c>
      <c r="I33" s="6">
        <v>1.3505874261478</v>
      </c>
      <c r="J33" s="6">
        <v>1.3505874261478</v>
      </c>
      <c r="K33" s="6">
        <v>1.3505874261478</v>
      </c>
      <c r="L33" s="6">
        <v>1.3505874261478</v>
      </c>
      <c r="M33" s="6">
        <v>1.3505874261478</v>
      </c>
      <c r="N33" s="6">
        <v>0.0</v>
      </c>
      <c r="O33" s="6">
        <v>0.0</v>
      </c>
      <c r="P33" s="6">
        <v>0.0</v>
      </c>
      <c r="Q33" s="6">
        <v>324.36278337895</v>
      </c>
    </row>
    <row r="34">
      <c r="A34" s="6">
        <v>32.0</v>
      </c>
      <c r="B34" s="7">
        <v>45709.0</v>
      </c>
      <c r="C34" s="6">
        <v>320.92627441504</v>
      </c>
      <c r="D34" s="6">
        <v>289.689178379977</v>
      </c>
      <c r="E34" s="6">
        <v>357.035496704441</v>
      </c>
      <c r="F34" s="6">
        <v>320.92627441504</v>
      </c>
      <c r="G34" s="6">
        <v>320.92627441504</v>
      </c>
      <c r="H34" s="6">
        <v>2.56958435842479</v>
      </c>
      <c r="I34" s="6">
        <v>2.56958435842479</v>
      </c>
      <c r="J34" s="6">
        <v>2.56958435842479</v>
      </c>
      <c r="K34" s="6">
        <v>2.56958435842479</v>
      </c>
      <c r="L34" s="6">
        <v>2.56958435842479</v>
      </c>
      <c r="M34" s="6">
        <v>2.56958435842479</v>
      </c>
      <c r="N34" s="6">
        <v>0.0</v>
      </c>
      <c r="O34" s="6">
        <v>0.0</v>
      </c>
      <c r="P34" s="6">
        <v>0.0</v>
      </c>
      <c r="Q34" s="6">
        <v>323.495858773465</v>
      </c>
    </row>
    <row r="35">
      <c r="A35" s="6">
        <v>33.0</v>
      </c>
      <c r="B35" s="7">
        <v>45712.0</v>
      </c>
      <c r="C35" s="6">
        <v>314.668523208364</v>
      </c>
      <c r="D35" s="6">
        <v>280.079689627162</v>
      </c>
      <c r="E35" s="6">
        <v>353.916620755808</v>
      </c>
      <c r="F35" s="6">
        <v>314.668523208364</v>
      </c>
      <c r="G35" s="6">
        <v>314.668523208364</v>
      </c>
      <c r="H35" s="6">
        <v>3.0505420816123</v>
      </c>
      <c r="I35" s="6">
        <v>3.0505420816123</v>
      </c>
      <c r="J35" s="6">
        <v>3.0505420816123</v>
      </c>
      <c r="K35" s="6">
        <v>3.0505420816123</v>
      </c>
      <c r="L35" s="6">
        <v>3.0505420816123</v>
      </c>
      <c r="M35" s="6">
        <v>3.0505420816123</v>
      </c>
      <c r="N35" s="6">
        <v>0.0</v>
      </c>
      <c r="O35" s="6">
        <v>0.0</v>
      </c>
      <c r="P35" s="6">
        <v>0.0</v>
      </c>
      <c r="Q35" s="6">
        <v>317.719065289976</v>
      </c>
    </row>
    <row r="36">
      <c r="A36" s="6">
        <v>34.0</v>
      </c>
      <c r="B36" s="7">
        <v>45713.0</v>
      </c>
      <c r="C36" s="6">
        <v>312.582606139471</v>
      </c>
      <c r="D36" s="6">
        <v>279.5316155655</v>
      </c>
      <c r="E36" s="6">
        <v>352.147704468769</v>
      </c>
      <c r="F36" s="6">
        <v>312.582606139471</v>
      </c>
      <c r="G36" s="6">
        <v>312.582606139471</v>
      </c>
      <c r="H36" s="6">
        <v>2.3375104796087</v>
      </c>
      <c r="I36" s="6">
        <v>2.3375104796087</v>
      </c>
      <c r="J36" s="6">
        <v>2.3375104796087</v>
      </c>
      <c r="K36" s="6">
        <v>2.3375104796087</v>
      </c>
      <c r="L36" s="6">
        <v>2.3375104796087</v>
      </c>
      <c r="M36" s="6">
        <v>2.3375104796087</v>
      </c>
      <c r="N36" s="6">
        <v>0.0</v>
      </c>
      <c r="O36" s="6">
        <v>0.0</v>
      </c>
      <c r="P36" s="6">
        <v>0.0</v>
      </c>
      <c r="Q36" s="6">
        <v>314.92011661908</v>
      </c>
    </row>
    <row r="37">
      <c r="A37" s="6">
        <v>35.0</v>
      </c>
      <c r="B37" s="7">
        <v>45714.0</v>
      </c>
      <c r="C37" s="6">
        <v>310.496689070579</v>
      </c>
      <c r="D37" s="6">
        <v>278.274196498623</v>
      </c>
      <c r="E37" s="6">
        <v>352.185987025749</v>
      </c>
      <c r="F37" s="6">
        <v>310.496689070579</v>
      </c>
      <c r="G37" s="6">
        <v>310.496689070579</v>
      </c>
      <c r="H37" s="6">
        <v>5.0160718517</v>
      </c>
      <c r="I37" s="6">
        <v>5.0160718517</v>
      </c>
      <c r="J37" s="6">
        <v>5.0160718517</v>
      </c>
      <c r="K37" s="6">
        <v>5.0160718517</v>
      </c>
      <c r="L37" s="6">
        <v>5.0160718517</v>
      </c>
      <c r="M37" s="6">
        <v>5.0160718517</v>
      </c>
      <c r="N37" s="6">
        <v>0.0</v>
      </c>
      <c r="O37" s="6">
        <v>0.0</v>
      </c>
      <c r="P37" s="6">
        <v>0.0</v>
      </c>
      <c r="Q37" s="6">
        <v>315.512760922279</v>
      </c>
    </row>
    <row r="38">
      <c r="A38" s="6">
        <v>36.0</v>
      </c>
      <c r="B38" s="7">
        <v>45715.0</v>
      </c>
      <c r="C38" s="6">
        <v>308.410772001687</v>
      </c>
      <c r="D38" s="6">
        <v>274.772848010741</v>
      </c>
      <c r="E38" s="6">
        <v>347.328448719577</v>
      </c>
      <c r="F38" s="6">
        <v>308.410772001687</v>
      </c>
      <c r="G38" s="6">
        <v>308.410772001687</v>
      </c>
      <c r="H38" s="6">
        <v>1.35058742613877</v>
      </c>
      <c r="I38" s="6">
        <v>1.35058742613877</v>
      </c>
      <c r="J38" s="6">
        <v>1.35058742613877</v>
      </c>
      <c r="K38" s="6">
        <v>1.35058742613877</v>
      </c>
      <c r="L38" s="6">
        <v>1.35058742613877</v>
      </c>
      <c r="M38" s="6">
        <v>1.35058742613877</v>
      </c>
      <c r="N38" s="6">
        <v>0.0</v>
      </c>
      <c r="O38" s="6">
        <v>0.0</v>
      </c>
      <c r="P38" s="6">
        <v>0.0</v>
      </c>
      <c r="Q38" s="6">
        <v>309.761359427825</v>
      </c>
    </row>
    <row r="39">
      <c r="A39" s="6">
        <v>37.0</v>
      </c>
      <c r="B39" s="7">
        <v>45716.0</v>
      </c>
      <c r="C39" s="6">
        <v>306.324854932794</v>
      </c>
      <c r="D39" s="6">
        <v>271.882496623693</v>
      </c>
      <c r="E39" s="6">
        <v>345.00284022933</v>
      </c>
      <c r="F39" s="6">
        <v>306.324854932794</v>
      </c>
      <c r="G39" s="6">
        <v>306.324854932794</v>
      </c>
      <c r="H39" s="6">
        <v>2.56958435841691</v>
      </c>
      <c r="I39" s="6">
        <v>2.56958435841691</v>
      </c>
      <c r="J39" s="6">
        <v>2.56958435841691</v>
      </c>
      <c r="K39" s="6">
        <v>2.56958435841691</v>
      </c>
      <c r="L39" s="6">
        <v>2.56958435841691</v>
      </c>
      <c r="M39" s="6">
        <v>2.56958435841691</v>
      </c>
      <c r="N39" s="6">
        <v>0.0</v>
      </c>
      <c r="O39" s="6">
        <v>0.0</v>
      </c>
      <c r="P39" s="6">
        <v>0.0</v>
      </c>
      <c r="Q39" s="6">
        <v>308.894439291211</v>
      </c>
    </row>
    <row r="40">
      <c r="A40" s="6">
        <v>38.0</v>
      </c>
      <c r="B40" s="7">
        <v>45719.0</v>
      </c>
      <c r="C40" s="6">
        <v>300.067103726118</v>
      </c>
      <c r="D40" s="6">
        <v>268.683880920871</v>
      </c>
      <c r="E40" s="6">
        <v>339.368317487019</v>
      </c>
      <c r="F40" s="6">
        <v>300.067103726118</v>
      </c>
      <c r="G40" s="6">
        <v>300.067103726118</v>
      </c>
      <c r="H40" s="6">
        <v>3.05054208160476</v>
      </c>
      <c r="I40" s="6">
        <v>3.05054208160476</v>
      </c>
      <c r="J40" s="6">
        <v>3.05054208160476</v>
      </c>
      <c r="K40" s="6">
        <v>3.05054208160476</v>
      </c>
      <c r="L40" s="6">
        <v>3.05054208160476</v>
      </c>
      <c r="M40" s="6">
        <v>3.05054208160476</v>
      </c>
      <c r="N40" s="6">
        <v>0.0</v>
      </c>
      <c r="O40" s="6">
        <v>0.0</v>
      </c>
      <c r="P40" s="6">
        <v>0.0</v>
      </c>
      <c r="Q40" s="6">
        <v>303.117645807722</v>
      </c>
    </row>
    <row r="41">
      <c r="A41" s="6">
        <v>39.0</v>
      </c>
      <c r="B41" s="7">
        <v>45720.0</v>
      </c>
      <c r="C41" s="6">
        <v>297.981186657225</v>
      </c>
      <c r="D41" s="6">
        <v>266.025684803969</v>
      </c>
      <c r="E41" s="6">
        <v>336.361933212737</v>
      </c>
      <c r="F41" s="6">
        <v>297.981186657225</v>
      </c>
      <c r="G41" s="6">
        <v>297.981186657225</v>
      </c>
      <c r="H41" s="6">
        <v>2.33751047961096</v>
      </c>
      <c r="I41" s="6">
        <v>2.33751047961096</v>
      </c>
      <c r="J41" s="6">
        <v>2.33751047961096</v>
      </c>
      <c r="K41" s="6">
        <v>2.33751047961096</v>
      </c>
      <c r="L41" s="6">
        <v>2.33751047961096</v>
      </c>
      <c r="M41" s="6">
        <v>2.33751047961096</v>
      </c>
      <c r="N41" s="6">
        <v>0.0</v>
      </c>
      <c r="O41" s="6">
        <v>0.0</v>
      </c>
      <c r="P41" s="6">
        <v>0.0</v>
      </c>
      <c r="Q41" s="6">
        <v>300.318697136836</v>
      </c>
    </row>
    <row r="42">
      <c r="A42" s="6">
        <v>40.0</v>
      </c>
      <c r="B42" s="7">
        <v>45721.0</v>
      </c>
      <c r="C42" s="6">
        <v>295.895269588333</v>
      </c>
      <c r="D42" s="6">
        <v>264.867370022947</v>
      </c>
      <c r="E42" s="6">
        <v>336.500734602572</v>
      </c>
      <c r="F42" s="6">
        <v>295.895269588333</v>
      </c>
      <c r="G42" s="6">
        <v>295.895269588333</v>
      </c>
      <c r="H42" s="6">
        <v>5.01607185169962</v>
      </c>
      <c r="I42" s="6">
        <v>5.01607185169962</v>
      </c>
      <c r="J42" s="6">
        <v>5.01607185169962</v>
      </c>
      <c r="K42" s="6">
        <v>5.01607185169962</v>
      </c>
      <c r="L42" s="6">
        <v>5.01607185169962</v>
      </c>
      <c r="M42" s="6">
        <v>5.01607185169962</v>
      </c>
      <c r="N42" s="6">
        <v>0.0</v>
      </c>
      <c r="O42" s="6">
        <v>0.0</v>
      </c>
      <c r="P42" s="6">
        <v>0.0</v>
      </c>
      <c r="Q42" s="6">
        <v>300.911341440033</v>
      </c>
    </row>
    <row r="43">
      <c r="A43" s="6">
        <v>41.0</v>
      </c>
      <c r="B43" s="7">
        <v>45722.0</v>
      </c>
      <c r="C43" s="6">
        <v>294.084924247549</v>
      </c>
      <c r="D43" s="6">
        <v>261.623337236665</v>
      </c>
      <c r="E43" s="6">
        <v>329.024213328818</v>
      </c>
      <c r="F43" s="6">
        <v>294.084924247549</v>
      </c>
      <c r="G43" s="6">
        <v>294.084924247549</v>
      </c>
      <c r="H43" s="6">
        <v>1.3505874261412</v>
      </c>
      <c r="I43" s="6">
        <v>1.3505874261412</v>
      </c>
      <c r="J43" s="6">
        <v>1.3505874261412</v>
      </c>
      <c r="K43" s="6">
        <v>1.3505874261412</v>
      </c>
      <c r="L43" s="6">
        <v>1.3505874261412</v>
      </c>
      <c r="M43" s="6">
        <v>1.3505874261412</v>
      </c>
      <c r="N43" s="6">
        <v>0.0</v>
      </c>
      <c r="O43" s="6">
        <v>0.0</v>
      </c>
      <c r="P43" s="6">
        <v>0.0</v>
      </c>
      <c r="Q43" s="6">
        <v>295.43551167369</v>
      </c>
    </row>
    <row r="44">
      <c r="A44" s="6">
        <v>42.0</v>
      </c>
      <c r="B44" s="7">
        <v>45723.0</v>
      </c>
      <c r="C44" s="6">
        <v>292.274578906765</v>
      </c>
      <c r="D44" s="6">
        <v>261.653961139721</v>
      </c>
      <c r="E44" s="6">
        <v>327.708263835192</v>
      </c>
      <c r="F44" s="6">
        <v>292.274578906765</v>
      </c>
      <c r="G44" s="6">
        <v>292.274578906765</v>
      </c>
      <c r="H44" s="6">
        <v>2.5695843584226</v>
      </c>
      <c r="I44" s="6">
        <v>2.5695843584226</v>
      </c>
      <c r="J44" s="6">
        <v>2.5695843584226</v>
      </c>
      <c r="K44" s="6">
        <v>2.5695843584226</v>
      </c>
      <c r="L44" s="6">
        <v>2.5695843584226</v>
      </c>
      <c r="M44" s="6">
        <v>2.5695843584226</v>
      </c>
      <c r="N44" s="6">
        <v>0.0</v>
      </c>
      <c r="O44" s="6">
        <v>0.0</v>
      </c>
      <c r="P44" s="6">
        <v>0.0</v>
      </c>
      <c r="Q44" s="6">
        <v>294.844163265188</v>
      </c>
    </row>
    <row r="45">
      <c r="A45" s="6">
        <v>43.0</v>
      </c>
      <c r="B45" s="7">
        <v>45726.0</v>
      </c>
      <c r="C45" s="6">
        <v>286.843542884413</v>
      </c>
      <c r="D45" s="6">
        <v>256.021050640176</v>
      </c>
      <c r="E45" s="6">
        <v>324.654862015479</v>
      </c>
      <c r="F45" s="6">
        <v>286.843542884413</v>
      </c>
      <c r="G45" s="6">
        <v>286.843542884413</v>
      </c>
      <c r="H45" s="6">
        <v>3.05054208159958</v>
      </c>
      <c r="I45" s="6">
        <v>3.05054208159958</v>
      </c>
      <c r="J45" s="6">
        <v>3.05054208159958</v>
      </c>
      <c r="K45" s="6">
        <v>3.05054208159958</v>
      </c>
      <c r="L45" s="6">
        <v>3.05054208159958</v>
      </c>
      <c r="M45" s="6">
        <v>3.05054208159958</v>
      </c>
      <c r="N45" s="6">
        <v>0.0</v>
      </c>
      <c r="O45" s="6">
        <v>0.0</v>
      </c>
      <c r="P45" s="6">
        <v>0.0</v>
      </c>
      <c r="Q45" s="6">
        <v>289.894084966013</v>
      </c>
    </row>
    <row r="46">
      <c r="A46" s="6">
        <v>44.0</v>
      </c>
      <c r="B46" s="7">
        <v>45727.0</v>
      </c>
      <c r="C46" s="6">
        <v>285.033197543629</v>
      </c>
      <c r="D46" s="6">
        <v>252.663590859125</v>
      </c>
      <c r="E46" s="6">
        <v>322.918201962741</v>
      </c>
      <c r="F46" s="6">
        <v>285.033197543629</v>
      </c>
      <c r="G46" s="6">
        <v>285.033197543629</v>
      </c>
      <c r="H46" s="6">
        <v>2.33751047960833</v>
      </c>
      <c r="I46" s="6">
        <v>2.33751047960833</v>
      </c>
      <c r="J46" s="6">
        <v>2.33751047960833</v>
      </c>
      <c r="K46" s="6">
        <v>2.33751047960833</v>
      </c>
      <c r="L46" s="6">
        <v>2.33751047960833</v>
      </c>
      <c r="M46" s="6">
        <v>2.33751047960833</v>
      </c>
      <c r="N46" s="6">
        <v>0.0</v>
      </c>
      <c r="O46" s="6">
        <v>0.0</v>
      </c>
      <c r="P46" s="6">
        <v>0.0</v>
      </c>
      <c r="Q46" s="6">
        <v>287.370708023237</v>
      </c>
    </row>
    <row r="47">
      <c r="A47" s="6">
        <v>45.0</v>
      </c>
      <c r="B47" s="7">
        <v>45728.0</v>
      </c>
      <c r="C47" s="6">
        <v>283.222852202845</v>
      </c>
      <c r="D47" s="6">
        <v>252.591767914893</v>
      </c>
      <c r="E47" s="6">
        <v>325.582722147844</v>
      </c>
      <c r="F47" s="6">
        <v>283.222852202845</v>
      </c>
      <c r="G47" s="6">
        <v>283.222852202845</v>
      </c>
      <c r="H47" s="6">
        <v>5.01607185169902</v>
      </c>
      <c r="I47" s="6">
        <v>5.01607185169902</v>
      </c>
      <c r="J47" s="6">
        <v>5.01607185169902</v>
      </c>
      <c r="K47" s="6">
        <v>5.01607185169902</v>
      </c>
      <c r="L47" s="6">
        <v>5.01607185169902</v>
      </c>
      <c r="M47" s="6">
        <v>5.01607185169902</v>
      </c>
      <c r="N47" s="6">
        <v>0.0</v>
      </c>
      <c r="O47" s="6">
        <v>0.0</v>
      </c>
      <c r="P47" s="6">
        <v>0.0</v>
      </c>
      <c r="Q47" s="6">
        <v>288.238924054544</v>
      </c>
    </row>
    <row r="48">
      <c r="A48" s="6">
        <v>46.0</v>
      </c>
      <c r="B48" s="7">
        <v>45729.0</v>
      </c>
      <c r="C48" s="6">
        <v>281.412506862061</v>
      </c>
      <c r="D48" s="6">
        <v>247.118686495854</v>
      </c>
      <c r="E48" s="6">
        <v>315.666622561577</v>
      </c>
      <c r="F48" s="6">
        <v>281.412506862061</v>
      </c>
      <c r="G48" s="6">
        <v>281.412506862061</v>
      </c>
      <c r="H48" s="6">
        <v>1.35058742613616</v>
      </c>
      <c r="I48" s="6">
        <v>1.35058742613616</v>
      </c>
      <c r="J48" s="6">
        <v>1.35058742613616</v>
      </c>
      <c r="K48" s="6">
        <v>1.35058742613616</v>
      </c>
      <c r="L48" s="6">
        <v>1.35058742613616</v>
      </c>
      <c r="M48" s="6">
        <v>1.35058742613616</v>
      </c>
      <c r="N48" s="6">
        <v>0.0</v>
      </c>
      <c r="O48" s="6">
        <v>0.0</v>
      </c>
      <c r="P48" s="6">
        <v>0.0</v>
      </c>
      <c r="Q48" s="6">
        <v>282.763094288197</v>
      </c>
    </row>
    <row r="49">
      <c r="A49" s="6">
        <v>47.0</v>
      </c>
      <c r="B49" s="7">
        <v>45730.0</v>
      </c>
      <c r="C49" s="6">
        <v>279.602161521277</v>
      </c>
      <c r="D49" s="6">
        <v>246.531767727429</v>
      </c>
      <c r="E49" s="6">
        <v>315.957597972742</v>
      </c>
      <c r="F49" s="6">
        <v>279.602161521277</v>
      </c>
      <c r="G49" s="6">
        <v>279.602161521277</v>
      </c>
      <c r="H49" s="6">
        <v>2.56958435841472</v>
      </c>
      <c r="I49" s="6">
        <v>2.56958435841472</v>
      </c>
      <c r="J49" s="6">
        <v>2.56958435841472</v>
      </c>
      <c r="K49" s="6">
        <v>2.56958435841472</v>
      </c>
      <c r="L49" s="6">
        <v>2.56958435841472</v>
      </c>
      <c r="M49" s="6">
        <v>2.56958435841472</v>
      </c>
      <c r="N49" s="6">
        <v>0.0</v>
      </c>
      <c r="O49" s="6">
        <v>0.0</v>
      </c>
      <c r="P49" s="6">
        <v>0.0</v>
      </c>
      <c r="Q49" s="6">
        <v>282.171745879692</v>
      </c>
    </row>
    <row r="50">
      <c r="A50" s="6">
        <v>48.0</v>
      </c>
      <c r="B50" s="7">
        <v>45733.0</v>
      </c>
      <c r="C50" s="6">
        <v>274.171125498925</v>
      </c>
      <c r="D50" s="6">
        <v>241.705034427137</v>
      </c>
      <c r="E50" s="6">
        <v>314.268612009742</v>
      </c>
      <c r="F50" s="6">
        <v>274.171125498925</v>
      </c>
      <c r="G50" s="6">
        <v>274.171125498925</v>
      </c>
      <c r="H50" s="6">
        <v>3.0505420816218</v>
      </c>
      <c r="I50" s="6">
        <v>3.0505420816218</v>
      </c>
      <c r="J50" s="6">
        <v>3.0505420816218</v>
      </c>
      <c r="K50" s="6">
        <v>3.0505420816218</v>
      </c>
      <c r="L50" s="6">
        <v>3.0505420816218</v>
      </c>
      <c r="M50" s="6">
        <v>3.0505420816218</v>
      </c>
      <c r="N50" s="6">
        <v>0.0</v>
      </c>
      <c r="O50" s="6">
        <v>0.0</v>
      </c>
      <c r="P50" s="6">
        <v>0.0</v>
      </c>
      <c r="Q50" s="6">
        <v>277.221667580547</v>
      </c>
    </row>
    <row r="51">
      <c r="A51" s="6">
        <v>49.0</v>
      </c>
      <c r="B51" s="7">
        <v>45734.0</v>
      </c>
      <c r="C51" s="6">
        <v>273.229706472165</v>
      </c>
      <c r="D51" s="6">
        <v>240.814853495401</v>
      </c>
      <c r="E51" s="6">
        <v>310.450638224305</v>
      </c>
      <c r="F51" s="6">
        <v>273.229706472165</v>
      </c>
      <c r="G51" s="6">
        <v>273.229706472165</v>
      </c>
      <c r="H51" s="6">
        <v>2.33751047961336</v>
      </c>
      <c r="I51" s="6">
        <v>2.33751047961336</v>
      </c>
      <c r="J51" s="6">
        <v>2.33751047961336</v>
      </c>
      <c r="K51" s="6">
        <v>2.33751047961336</v>
      </c>
      <c r="L51" s="6">
        <v>2.33751047961336</v>
      </c>
      <c r="M51" s="6">
        <v>2.33751047961336</v>
      </c>
      <c r="N51" s="6">
        <v>0.0</v>
      </c>
      <c r="O51" s="6">
        <v>0.0</v>
      </c>
      <c r="P51" s="6">
        <v>0.0</v>
      </c>
      <c r="Q51" s="6">
        <v>275.567216951779</v>
      </c>
    </row>
    <row r="52">
      <c r="A52" s="6">
        <v>50.0</v>
      </c>
      <c r="B52" s="7">
        <v>45735.0</v>
      </c>
      <c r="C52" s="6">
        <v>272.288287445406</v>
      </c>
      <c r="D52" s="6">
        <v>242.362375772957</v>
      </c>
      <c r="E52" s="6">
        <v>312.409146590299</v>
      </c>
      <c r="F52" s="6">
        <v>272.288287445406</v>
      </c>
      <c r="G52" s="6">
        <v>272.288287445406</v>
      </c>
      <c r="H52" s="6">
        <v>5.01607185169852</v>
      </c>
      <c r="I52" s="6">
        <v>5.01607185169852</v>
      </c>
      <c r="J52" s="6">
        <v>5.01607185169852</v>
      </c>
      <c r="K52" s="6">
        <v>5.01607185169852</v>
      </c>
      <c r="L52" s="6">
        <v>5.01607185169852</v>
      </c>
      <c r="M52" s="6">
        <v>5.01607185169852</v>
      </c>
      <c r="N52" s="6">
        <v>0.0</v>
      </c>
      <c r="O52" s="6">
        <v>0.0</v>
      </c>
      <c r="P52" s="6">
        <v>0.0</v>
      </c>
      <c r="Q52" s="6">
        <v>277.304359297105</v>
      </c>
    </row>
    <row r="53">
      <c r="A53" s="6">
        <v>51.0</v>
      </c>
      <c r="B53" s="7">
        <v>45736.0</v>
      </c>
      <c r="C53" s="6">
        <v>271.346868418647</v>
      </c>
      <c r="D53" s="6">
        <v>237.886267968397</v>
      </c>
      <c r="E53" s="6">
        <v>307.744871386378</v>
      </c>
      <c r="F53" s="6">
        <v>271.346868418647</v>
      </c>
      <c r="G53" s="6">
        <v>271.346868418647</v>
      </c>
      <c r="H53" s="6">
        <v>1.35058742614206</v>
      </c>
      <c r="I53" s="6">
        <v>1.35058742614206</v>
      </c>
      <c r="J53" s="6">
        <v>1.35058742614206</v>
      </c>
      <c r="K53" s="6">
        <v>1.35058742614206</v>
      </c>
      <c r="L53" s="6">
        <v>1.35058742614206</v>
      </c>
      <c r="M53" s="6">
        <v>1.35058742614206</v>
      </c>
      <c r="N53" s="6">
        <v>0.0</v>
      </c>
      <c r="O53" s="6">
        <v>0.0</v>
      </c>
      <c r="P53" s="6">
        <v>0.0</v>
      </c>
      <c r="Q53" s="6">
        <v>272.697455844789</v>
      </c>
    </row>
    <row r="54">
      <c r="A54" s="6">
        <v>52.0</v>
      </c>
      <c r="B54" s="7">
        <v>45737.0</v>
      </c>
      <c r="C54" s="6">
        <v>270.405449391887</v>
      </c>
      <c r="D54" s="6">
        <v>237.021916325585</v>
      </c>
      <c r="E54" s="6">
        <v>310.407308929877</v>
      </c>
      <c r="F54" s="6">
        <v>270.405449391887</v>
      </c>
      <c r="G54" s="6">
        <v>270.405449391887</v>
      </c>
      <c r="H54" s="6">
        <v>2.56958435842041</v>
      </c>
      <c r="I54" s="6">
        <v>2.56958435842041</v>
      </c>
      <c r="J54" s="6">
        <v>2.56958435842041</v>
      </c>
      <c r="K54" s="6">
        <v>2.56958435842041</v>
      </c>
      <c r="L54" s="6">
        <v>2.56958435842041</v>
      </c>
      <c r="M54" s="6">
        <v>2.56958435842041</v>
      </c>
      <c r="N54" s="6">
        <v>0.0</v>
      </c>
      <c r="O54" s="6">
        <v>0.0</v>
      </c>
      <c r="P54" s="6">
        <v>0.0</v>
      </c>
      <c r="Q54" s="6">
        <v>272.975033750308</v>
      </c>
    </row>
    <row r="55">
      <c r="A55" s="6">
        <v>53.0</v>
      </c>
      <c r="B55" s="7">
        <v>45740.0</v>
      </c>
      <c r="C55" s="6">
        <v>267.581192311609</v>
      </c>
      <c r="D55" s="6">
        <v>234.304103138225</v>
      </c>
      <c r="E55" s="6">
        <v>305.422362565044</v>
      </c>
      <c r="F55" s="6">
        <v>267.581192311609</v>
      </c>
      <c r="G55" s="6">
        <v>267.581192311609</v>
      </c>
      <c r="H55" s="6">
        <v>3.05054208161662</v>
      </c>
      <c r="I55" s="6">
        <v>3.05054208161662</v>
      </c>
      <c r="J55" s="6">
        <v>3.05054208161662</v>
      </c>
      <c r="K55" s="6">
        <v>3.05054208161662</v>
      </c>
      <c r="L55" s="6">
        <v>3.05054208161662</v>
      </c>
      <c r="M55" s="6">
        <v>3.05054208161662</v>
      </c>
      <c r="N55" s="6">
        <v>0.0</v>
      </c>
      <c r="O55" s="6">
        <v>0.0</v>
      </c>
      <c r="P55" s="6">
        <v>0.0</v>
      </c>
      <c r="Q55" s="6">
        <v>270.631734393226</v>
      </c>
    </row>
    <row r="56">
      <c r="A56" s="6">
        <v>54.0</v>
      </c>
      <c r="B56" s="7">
        <v>45741.0</v>
      </c>
      <c r="C56" s="6">
        <v>266.63977328485</v>
      </c>
      <c r="D56" s="6">
        <v>234.259445054502</v>
      </c>
      <c r="E56" s="6">
        <v>305.615731351203</v>
      </c>
      <c r="F56" s="6">
        <v>266.63977328485</v>
      </c>
      <c r="G56" s="6">
        <v>266.63977328485</v>
      </c>
      <c r="H56" s="6">
        <v>2.33751047961072</v>
      </c>
      <c r="I56" s="6">
        <v>2.33751047961072</v>
      </c>
      <c r="J56" s="6">
        <v>2.33751047961072</v>
      </c>
      <c r="K56" s="6">
        <v>2.33751047961072</v>
      </c>
      <c r="L56" s="6">
        <v>2.33751047961072</v>
      </c>
      <c r="M56" s="6">
        <v>2.33751047961072</v>
      </c>
      <c r="N56" s="6">
        <v>0.0</v>
      </c>
      <c r="O56" s="6">
        <v>0.0</v>
      </c>
      <c r="P56" s="6">
        <v>0.0</v>
      </c>
      <c r="Q56" s="6">
        <v>268.97728376446</v>
      </c>
    </row>
    <row r="57">
      <c r="A57" s="6">
        <v>55.0</v>
      </c>
      <c r="B57" s="7">
        <v>45742.0</v>
      </c>
      <c r="C57" s="6">
        <v>265.69835425809</v>
      </c>
      <c r="D57" s="6">
        <v>236.755233508667</v>
      </c>
      <c r="E57" s="6">
        <v>306.465332175427</v>
      </c>
      <c r="F57" s="6">
        <v>265.69835425809</v>
      </c>
      <c r="G57" s="6">
        <v>265.69835425809</v>
      </c>
      <c r="H57" s="6">
        <v>5.01607185170088</v>
      </c>
      <c r="I57" s="6">
        <v>5.01607185170088</v>
      </c>
      <c r="J57" s="6">
        <v>5.01607185170088</v>
      </c>
      <c r="K57" s="6">
        <v>5.01607185170088</v>
      </c>
      <c r="L57" s="6">
        <v>5.01607185170088</v>
      </c>
      <c r="M57" s="6">
        <v>5.01607185170088</v>
      </c>
      <c r="N57" s="6">
        <v>0.0</v>
      </c>
      <c r="O57" s="6">
        <v>0.0</v>
      </c>
      <c r="P57" s="6">
        <v>0.0</v>
      </c>
      <c r="Q57" s="6">
        <v>270.714426109791</v>
      </c>
    </row>
    <row r="58">
      <c r="A58" s="6">
        <v>56.0</v>
      </c>
      <c r="B58" s="7">
        <v>45743.0</v>
      </c>
      <c r="C58" s="6">
        <v>264.756935231331</v>
      </c>
      <c r="D58" s="6">
        <v>227.774855708969</v>
      </c>
      <c r="E58" s="6">
        <v>299.127675700719</v>
      </c>
      <c r="F58" s="6">
        <v>264.756935231331</v>
      </c>
      <c r="G58" s="6">
        <v>264.756935231331</v>
      </c>
      <c r="H58" s="6">
        <v>1.35058742614448</v>
      </c>
      <c r="I58" s="6">
        <v>1.35058742614448</v>
      </c>
      <c r="J58" s="6">
        <v>1.35058742614448</v>
      </c>
      <c r="K58" s="6">
        <v>1.35058742614448</v>
      </c>
      <c r="L58" s="6">
        <v>1.35058742614448</v>
      </c>
      <c r="M58" s="6">
        <v>1.35058742614448</v>
      </c>
      <c r="N58" s="6">
        <v>0.0</v>
      </c>
      <c r="O58" s="6">
        <v>0.0</v>
      </c>
      <c r="P58" s="6">
        <v>0.0</v>
      </c>
      <c r="Q58" s="6">
        <v>266.107522657475</v>
      </c>
    </row>
    <row r="59">
      <c r="A59" s="6">
        <v>57.0</v>
      </c>
      <c r="B59" s="7">
        <v>45744.0</v>
      </c>
      <c r="C59" s="6">
        <v>264.711148838476</v>
      </c>
      <c r="D59" s="6">
        <v>233.715849332778</v>
      </c>
      <c r="E59" s="6">
        <v>304.635376823091</v>
      </c>
      <c r="F59" s="6">
        <v>264.711148838476</v>
      </c>
      <c r="G59" s="6">
        <v>264.711148838476</v>
      </c>
      <c r="H59" s="6">
        <v>2.56958435839898</v>
      </c>
      <c r="I59" s="6">
        <v>2.56958435839898</v>
      </c>
      <c r="J59" s="6">
        <v>2.56958435839898</v>
      </c>
      <c r="K59" s="6">
        <v>2.56958435839898</v>
      </c>
      <c r="L59" s="6">
        <v>2.56958435839898</v>
      </c>
      <c r="M59" s="6">
        <v>2.56958435839898</v>
      </c>
      <c r="N59" s="6">
        <v>0.0</v>
      </c>
      <c r="O59" s="6">
        <v>0.0</v>
      </c>
      <c r="P59" s="6">
        <v>0.0</v>
      </c>
      <c r="Q59" s="6">
        <v>267.280733196875</v>
      </c>
    </row>
    <row r="60">
      <c r="A60" s="6">
        <v>58.0</v>
      </c>
      <c r="B60" s="7">
        <v>45747.0</v>
      </c>
      <c r="C60" s="6">
        <v>264.57378965991</v>
      </c>
      <c r="D60" s="6">
        <v>234.348776538382</v>
      </c>
      <c r="E60" s="6">
        <v>303.741028128091</v>
      </c>
      <c r="F60" s="6">
        <v>264.57378965991</v>
      </c>
      <c r="G60" s="6">
        <v>264.57378965991</v>
      </c>
      <c r="H60" s="6">
        <v>3.05054208159539</v>
      </c>
      <c r="I60" s="6">
        <v>3.05054208159539</v>
      </c>
      <c r="J60" s="6">
        <v>3.05054208159539</v>
      </c>
      <c r="K60" s="6">
        <v>3.05054208159539</v>
      </c>
      <c r="L60" s="6">
        <v>3.05054208159539</v>
      </c>
      <c r="M60" s="6">
        <v>3.05054208159539</v>
      </c>
      <c r="N60" s="6">
        <v>0.0</v>
      </c>
      <c r="O60" s="6">
        <v>0.0</v>
      </c>
      <c r="P60" s="6">
        <v>0.0</v>
      </c>
      <c r="Q60" s="6">
        <v>267.624331741505</v>
      </c>
    </row>
    <row r="61">
      <c r="A61" s="6">
        <v>59.0</v>
      </c>
      <c r="B61" s="7">
        <v>45748.0</v>
      </c>
      <c r="C61" s="6">
        <v>264.528003267054</v>
      </c>
      <c r="D61" s="6">
        <v>231.685135973781</v>
      </c>
      <c r="E61" s="6">
        <v>304.198718556679</v>
      </c>
      <c r="F61" s="6">
        <v>264.528003267054</v>
      </c>
      <c r="G61" s="6">
        <v>264.528003267054</v>
      </c>
      <c r="H61" s="6">
        <v>2.33751047961575</v>
      </c>
      <c r="I61" s="6">
        <v>2.33751047961575</v>
      </c>
      <c r="J61" s="6">
        <v>2.33751047961575</v>
      </c>
      <c r="K61" s="6">
        <v>2.33751047961575</v>
      </c>
      <c r="L61" s="6">
        <v>2.33751047961575</v>
      </c>
      <c r="M61" s="6">
        <v>2.33751047961575</v>
      </c>
      <c r="N61" s="6">
        <v>0.0</v>
      </c>
      <c r="O61" s="6">
        <v>0.0</v>
      </c>
      <c r="P61" s="6">
        <v>0.0</v>
      </c>
      <c r="Q61" s="6">
        <v>266.86551374667</v>
      </c>
    </row>
    <row r="62">
      <c r="A62" s="6">
        <v>60.0</v>
      </c>
      <c r="B62" s="7">
        <v>45749.0</v>
      </c>
      <c r="C62" s="6">
        <v>264.482216874199</v>
      </c>
      <c r="D62" s="6">
        <v>236.059308313902</v>
      </c>
      <c r="E62" s="6">
        <v>306.896545059695</v>
      </c>
      <c r="F62" s="6">
        <v>264.482216874199</v>
      </c>
      <c r="G62" s="6">
        <v>264.482216874199</v>
      </c>
      <c r="H62" s="6">
        <v>5.01607185170039</v>
      </c>
      <c r="I62" s="6">
        <v>5.01607185170039</v>
      </c>
      <c r="J62" s="6">
        <v>5.01607185170039</v>
      </c>
      <c r="K62" s="6">
        <v>5.01607185170039</v>
      </c>
      <c r="L62" s="6">
        <v>5.01607185170039</v>
      </c>
      <c r="M62" s="6">
        <v>5.01607185170039</v>
      </c>
      <c r="N62" s="6">
        <v>0.0</v>
      </c>
      <c r="O62" s="6">
        <v>0.0</v>
      </c>
      <c r="P62" s="6">
        <v>0.0</v>
      </c>
      <c r="Q62" s="6">
        <v>269.498288725899</v>
      </c>
    </row>
    <row r="63">
      <c r="A63" s="6">
        <v>61.0</v>
      </c>
      <c r="B63" s="7">
        <v>45750.0</v>
      </c>
      <c r="C63" s="6">
        <v>264.436430481343</v>
      </c>
      <c r="D63" s="6">
        <v>231.194639888699</v>
      </c>
      <c r="E63" s="6">
        <v>301.45280032219</v>
      </c>
      <c r="F63" s="6">
        <v>264.436430481343</v>
      </c>
      <c r="G63" s="6">
        <v>264.436430481343</v>
      </c>
      <c r="H63" s="6">
        <v>1.3505874261469</v>
      </c>
      <c r="I63" s="6">
        <v>1.3505874261469</v>
      </c>
      <c r="J63" s="6">
        <v>1.3505874261469</v>
      </c>
      <c r="K63" s="6">
        <v>1.3505874261469</v>
      </c>
      <c r="L63" s="6">
        <v>1.3505874261469</v>
      </c>
      <c r="M63" s="6">
        <v>1.3505874261469</v>
      </c>
      <c r="N63" s="6">
        <v>0.0</v>
      </c>
      <c r="O63" s="6">
        <v>0.0</v>
      </c>
      <c r="P63" s="6">
        <v>0.0</v>
      </c>
      <c r="Q63" s="6">
        <v>265.78701790749</v>
      </c>
    </row>
    <row r="64">
      <c r="A64" s="6">
        <v>62.0</v>
      </c>
      <c r="B64" s="7">
        <v>45751.0</v>
      </c>
      <c r="C64" s="6">
        <v>264.390644088488</v>
      </c>
      <c r="D64" s="6">
        <v>230.467416947827</v>
      </c>
      <c r="E64" s="6">
        <v>301.194279618859</v>
      </c>
      <c r="F64" s="6">
        <v>264.390644088488</v>
      </c>
      <c r="G64" s="6">
        <v>264.390644088488</v>
      </c>
      <c r="H64" s="6">
        <v>2.56958435840466</v>
      </c>
      <c r="I64" s="6">
        <v>2.56958435840466</v>
      </c>
      <c r="J64" s="6">
        <v>2.56958435840466</v>
      </c>
      <c r="K64" s="6">
        <v>2.56958435840466</v>
      </c>
      <c r="L64" s="6">
        <v>2.56958435840466</v>
      </c>
      <c r="M64" s="6">
        <v>2.56958435840466</v>
      </c>
      <c r="N64" s="6">
        <v>0.0</v>
      </c>
      <c r="O64" s="6">
        <v>0.0</v>
      </c>
      <c r="P64" s="6">
        <v>0.0</v>
      </c>
      <c r="Q64" s="6">
        <v>266.960228446893</v>
      </c>
    </row>
    <row r="65">
      <c r="A65" s="6">
        <v>63.0</v>
      </c>
      <c r="B65" s="7">
        <v>45754.0</v>
      </c>
      <c r="C65" s="6">
        <v>264.253284909922</v>
      </c>
      <c r="D65" s="6">
        <v>230.319564661172</v>
      </c>
      <c r="E65" s="6">
        <v>303.26512177709</v>
      </c>
      <c r="F65" s="6">
        <v>264.253284909922</v>
      </c>
      <c r="G65" s="6">
        <v>264.253284909922</v>
      </c>
      <c r="H65" s="6">
        <v>3.05054208160391</v>
      </c>
      <c r="I65" s="6">
        <v>3.05054208160391</v>
      </c>
      <c r="J65" s="6">
        <v>3.05054208160391</v>
      </c>
      <c r="K65" s="6">
        <v>3.05054208160391</v>
      </c>
      <c r="L65" s="6">
        <v>3.05054208160391</v>
      </c>
      <c r="M65" s="6">
        <v>3.05054208160391</v>
      </c>
      <c r="N65" s="6">
        <v>0.0</v>
      </c>
      <c r="O65" s="6">
        <v>0.0</v>
      </c>
      <c r="P65" s="6">
        <v>0.0</v>
      </c>
      <c r="Q65" s="6">
        <v>267.303826991526</v>
      </c>
    </row>
    <row r="66">
      <c r="A66" s="6">
        <v>64.0</v>
      </c>
      <c r="B66" s="7">
        <v>45755.0</v>
      </c>
      <c r="C66" s="6">
        <v>264.207498517067</v>
      </c>
      <c r="D66" s="6">
        <v>228.241130073177</v>
      </c>
      <c r="E66" s="6">
        <v>302.456168968795</v>
      </c>
      <c r="F66" s="6">
        <v>264.207498517067</v>
      </c>
      <c r="G66" s="6">
        <v>264.207498517067</v>
      </c>
      <c r="H66" s="6">
        <v>2.33751047960546</v>
      </c>
      <c r="I66" s="6">
        <v>2.33751047960546</v>
      </c>
      <c r="J66" s="6">
        <v>2.33751047960546</v>
      </c>
      <c r="K66" s="6">
        <v>2.33751047960546</v>
      </c>
      <c r="L66" s="6">
        <v>2.33751047960546</v>
      </c>
      <c r="M66" s="6">
        <v>2.33751047960546</v>
      </c>
      <c r="N66" s="6">
        <v>0.0</v>
      </c>
      <c r="O66" s="6">
        <v>0.0</v>
      </c>
      <c r="P66" s="6">
        <v>0.0</v>
      </c>
      <c r="Q66" s="6">
        <v>266.545008996672</v>
      </c>
    </row>
    <row r="67">
      <c r="A67" s="6">
        <v>65.0</v>
      </c>
      <c r="B67" s="7">
        <v>45756.0</v>
      </c>
      <c r="C67" s="6">
        <v>264.85850494045</v>
      </c>
      <c r="D67" s="6">
        <v>235.686231148451</v>
      </c>
      <c r="E67" s="6">
        <v>307.326240611165</v>
      </c>
      <c r="F67" s="6">
        <v>264.85850494045</v>
      </c>
      <c r="G67" s="6">
        <v>264.85850494045</v>
      </c>
      <c r="H67" s="6">
        <v>5.01607185169979</v>
      </c>
      <c r="I67" s="6">
        <v>5.01607185169979</v>
      </c>
      <c r="J67" s="6">
        <v>5.01607185169979</v>
      </c>
      <c r="K67" s="6">
        <v>5.01607185169979</v>
      </c>
      <c r="L67" s="6">
        <v>5.01607185169979</v>
      </c>
      <c r="M67" s="6">
        <v>5.01607185169979</v>
      </c>
      <c r="N67" s="6">
        <v>0.0</v>
      </c>
      <c r="O67" s="6">
        <v>0.0</v>
      </c>
      <c r="P67" s="6">
        <v>0.0</v>
      </c>
      <c r="Q67" s="6">
        <v>269.87457679215</v>
      </c>
    </row>
    <row r="68">
      <c r="A68" s="6">
        <v>66.0</v>
      </c>
      <c r="B68" s="7">
        <v>45757.0</v>
      </c>
      <c r="C68" s="6">
        <v>265.509511363833</v>
      </c>
      <c r="D68" s="6">
        <v>230.576956029871</v>
      </c>
      <c r="E68" s="6">
        <v>299.712402001513</v>
      </c>
      <c r="F68" s="6">
        <v>265.509511363833</v>
      </c>
      <c r="G68" s="6">
        <v>265.509511363833</v>
      </c>
      <c r="H68" s="6">
        <v>1.35058742614186</v>
      </c>
      <c r="I68" s="6">
        <v>1.35058742614186</v>
      </c>
      <c r="J68" s="6">
        <v>1.35058742614186</v>
      </c>
      <c r="K68" s="6">
        <v>1.35058742614186</v>
      </c>
      <c r="L68" s="6">
        <v>1.35058742614186</v>
      </c>
      <c r="M68" s="6">
        <v>1.35058742614186</v>
      </c>
      <c r="N68" s="6">
        <v>0.0</v>
      </c>
      <c r="O68" s="6">
        <v>0.0</v>
      </c>
      <c r="P68" s="6">
        <v>0.0</v>
      </c>
      <c r="Q68" s="6">
        <v>266.860098789975</v>
      </c>
    </row>
    <row r="69">
      <c r="A69" s="6">
        <v>67.0</v>
      </c>
      <c r="B69" s="7">
        <v>45758.0</v>
      </c>
      <c r="C69" s="6">
        <v>266.160517787216</v>
      </c>
      <c r="D69" s="6">
        <v>233.987461157983</v>
      </c>
      <c r="E69" s="6">
        <v>304.096643907231</v>
      </c>
      <c r="F69" s="6">
        <v>266.160517787216</v>
      </c>
      <c r="G69" s="6">
        <v>266.160517787216</v>
      </c>
      <c r="H69" s="6">
        <v>2.56958435842315</v>
      </c>
      <c r="I69" s="6">
        <v>2.56958435842315</v>
      </c>
      <c r="J69" s="6">
        <v>2.56958435842315</v>
      </c>
      <c r="K69" s="6">
        <v>2.56958435842315</v>
      </c>
      <c r="L69" s="6">
        <v>2.56958435842315</v>
      </c>
      <c r="M69" s="6">
        <v>2.56958435842315</v>
      </c>
      <c r="N69" s="6">
        <v>0.0</v>
      </c>
      <c r="O69" s="6">
        <v>0.0</v>
      </c>
      <c r="P69" s="6">
        <v>0.0</v>
      </c>
      <c r="Q69" s="6">
        <v>268.73010214564</v>
      </c>
    </row>
    <row r="70">
      <c r="A70" s="6">
        <v>68.0</v>
      </c>
      <c r="B70" s="7">
        <v>45761.0</v>
      </c>
      <c r="C70" s="6">
        <v>268.113537057366</v>
      </c>
      <c r="D70" s="6">
        <v>237.463858900025</v>
      </c>
      <c r="E70" s="6">
        <v>304.663444691234</v>
      </c>
      <c r="F70" s="6">
        <v>268.113537057366</v>
      </c>
      <c r="G70" s="6">
        <v>268.113537057366</v>
      </c>
      <c r="H70" s="6">
        <v>3.05054208161243</v>
      </c>
      <c r="I70" s="6">
        <v>3.05054208161243</v>
      </c>
      <c r="J70" s="6">
        <v>3.05054208161243</v>
      </c>
      <c r="K70" s="6">
        <v>3.05054208161243</v>
      </c>
      <c r="L70" s="6">
        <v>3.05054208161243</v>
      </c>
      <c r="M70" s="6">
        <v>3.05054208161243</v>
      </c>
      <c r="N70" s="6">
        <v>0.0</v>
      </c>
      <c r="O70" s="6">
        <v>0.0</v>
      </c>
      <c r="P70" s="6">
        <v>0.0</v>
      </c>
      <c r="Q70" s="6">
        <v>271.164079138979</v>
      </c>
    </row>
    <row r="71">
      <c r="A71" s="6">
        <v>69.0</v>
      </c>
      <c r="B71" s="7">
        <v>45762.0</v>
      </c>
      <c r="C71" s="6">
        <v>268.764543480749</v>
      </c>
      <c r="D71" s="6">
        <v>235.345617602698</v>
      </c>
      <c r="E71" s="6">
        <v>307.108125645843</v>
      </c>
      <c r="F71" s="6">
        <v>268.764543480749</v>
      </c>
      <c r="G71" s="6">
        <v>268.764543480749</v>
      </c>
      <c r="H71" s="6">
        <v>2.33751047961048</v>
      </c>
      <c r="I71" s="6">
        <v>2.33751047961048</v>
      </c>
      <c r="J71" s="6">
        <v>2.33751047961048</v>
      </c>
      <c r="K71" s="6">
        <v>2.33751047961048</v>
      </c>
      <c r="L71" s="6">
        <v>2.33751047961048</v>
      </c>
      <c r="M71" s="6">
        <v>2.33751047961048</v>
      </c>
      <c r="N71" s="6">
        <v>0.0</v>
      </c>
      <c r="O71" s="6">
        <v>0.0</v>
      </c>
      <c r="P71" s="6">
        <v>0.0</v>
      </c>
      <c r="Q71" s="6">
        <v>271.10205396036</v>
      </c>
    </row>
    <row r="72">
      <c r="A72" s="6">
        <v>70.0</v>
      </c>
      <c r="B72" s="7">
        <v>45763.0</v>
      </c>
      <c r="C72" s="6">
        <v>269.415549904133</v>
      </c>
      <c r="D72" s="6">
        <v>237.298456466356</v>
      </c>
      <c r="E72" s="6">
        <v>306.712227471977</v>
      </c>
      <c r="F72" s="6">
        <v>269.415549904133</v>
      </c>
      <c r="G72" s="6">
        <v>269.415549904133</v>
      </c>
      <c r="H72" s="6">
        <v>5.01607185170226</v>
      </c>
      <c r="I72" s="6">
        <v>5.01607185170226</v>
      </c>
      <c r="J72" s="6">
        <v>5.01607185170226</v>
      </c>
      <c r="K72" s="6">
        <v>5.01607185170226</v>
      </c>
      <c r="L72" s="6">
        <v>5.01607185170226</v>
      </c>
      <c r="M72" s="6">
        <v>5.01607185170226</v>
      </c>
      <c r="N72" s="6">
        <v>0.0</v>
      </c>
      <c r="O72" s="6">
        <v>0.0</v>
      </c>
      <c r="P72" s="6">
        <v>0.0</v>
      </c>
      <c r="Q72" s="6">
        <v>274.431621755835</v>
      </c>
    </row>
    <row r="73">
      <c r="A73" s="6">
        <v>71.0</v>
      </c>
      <c r="B73" s="7">
        <v>45764.0</v>
      </c>
      <c r="C73" s="6">
        <v>270.066556327516</v>
      </c>
      <c r="D73" s="6">
        <v>235.618587309527</v>
      </c>
      <c r="E73" s="6">
        <v>306.771920344901</v>
      </c>
      <c r="F73" s="6">
        <v>270.066556327516</v>
      </c>
      <c r="G73" s="6">
        <v>270.066556327516</v>
      </c>
      <c r="H73" s="6">
        <v>1.35058742613682</v>
      </c>
      <c r="I73" s="6">
        <v>1.35058742613682</v>
      </c>
      <c r="J73" s="6">
        <v>1.35058742613682</v>
      </c>
      <c r="K73" s="6">
        <v>1.35058742613682</v>
      </c>
      <c r="L73" s="6">
        <v>1.35058742613682</v>
      </c>
      <c r="M73" s="6">
        <v>1.35058742613682</v>
      </c>
      <c r="N73" s="6">
        <v>0.0</v>
      </c>
      <c r="O73" s="6">
        <v>0.0</v>
      </c>
      <c r="P73" s="6">
        <v>0.0</v>
      </c>
      <c r="Q73" s="6">
        <v>271.417143753653</v>
      </c>
    </row>
    <row r="74">
      <c r="A74" s="6">
        <v>72.0</v>
      </c>
      <c r="B74" s="7">
        <v>45768.0</v>
      </c>
      <c r="C74" s="6">
        <v>272.670582021049</v>
      </c>
      <c r="D74" s="6">
        <v>240.711709966168</v>
      </c>
      <c r="E74" s="6">
        <v>312.372768161308</v>
      </c>
      <c r="F74" s="6">
        <v>272.670582021049</v>
      </c>
      <c r="G74" s="6">
        <v>272.670582021049</v>
      </c>
      <c r="H74" s="6">
        <v>3.05054208160725</v>
      </c>
      <c r="I74" s="6">
        <v>3.05054208160725</v>
      </c>
      <c r="J74" s="6">
        <v>3.05054208160725</v>
      </c>
      <c r="K74" s="6">
        <v>3.05054208160725</v>
      </c>
      <c r="L74" s="6">
        <v>3.05054208160725</v>
      </c>
      <c r="M74" s="6">
        <v>3.05054208160725</v>
      </c>
      <c r="N74" s="6">
        <v>0.0</v>
      </c>
      <c r="O74" s="6">
        <v>0.0</v>
      </c>
      <c r="P74" s="6">
        <v>0.0</v>
      </c>
      <c r="Q74" s="6">
        <v>275.721124102656</v>
      </c>
    </row>
    <row r="75">
      <c r="A75" s="6">
        <v>73.0</v>
      </c>
      <c r="B75" s="7">
        <v>45769.0</v>
      </c>
      <c r="C75" s="6">
        <v>273.32158858744</v>
      </c>
      <c r="D75" s="6">
        <v>240.185114731238</v>
      </c>
      <c r="E75" s="6">
        <v>310.403307610796</v>
      </c>
      <c r="F75" s="6">
        <v>273.32158858744</v>
      </c>
      <c r="G75" s="6">
        <v>273.32158858744</v>
      </c>
      <c r="H75" s="6">
        <v>2.33751047961275</v>
      </c>
      <c r="I75" s="6">
        <v>2.33751047961275</v>
      </c>
      <c r="J75" s="6">
        <v>2.33751047961275</v>
      </c>
      <c r="K75" s="6">
        <v>2.33751047961275</v>
      </c>
      <c r="L75" s="6">
        <v>2.33751047961275</v>
      </c>
      <c r="M75" s="6">
        <v>2.33751047961275</v>
      </c>
      <c r="N75" s="6">
        <v>0.0</v>
      </c>
      <c r="O75" s="6">
        <v>0.0</v>
      </c>
      <c r="P75" s="6">
        <v>0.0</v>
      </c>
      <c r="Q75" s="6">
        <v>275.659099067053</v>
      </c>
    </row>
    <row r="76">
      <c r="A76" s="6">
        <v>74.0</v>
      </c>
      <c r="B76" s="7">
        <v>45770.0</v>
      </c>
      <c r="C76" s="6">
        <v>273.972595153832</v>
      </c>
      <c r="D76" s="6">
        <v>243.771517408661</v>
      </c>
      <c r="E76" s="6">
        <v>314.516851396474</v>
      </c>
      <c r="F76" s="6">
        <v>273.972595153832</v>
      </c>
      <c r="G76" s="6">
        <v>273.972595153832</v>
      </c>
      <c r="H76" s="6">
        <v>5.01607185170166</v>
      </c>
      <c r="I76" s="6">
        <v>5.01607185170166</v>
      </c>
      <c r="J76" s="6">
        <v>5.01607185170166</v>
      </c>
      <c r="K76" s="6">
        <v>5.01607185170166</v>
      </c>
      <c r="L76" s="6">
        <v>5.01607185170166</v>
      </c>
      <c r="M76" s="6">
        <v>5.01607185170166</v>
      </c>
      <c r="N76" s="6">
        <v>0.0</v>
      </c>
      <c r="O76" s="6">
        <v>0.0</v>
      </c>
      <c r="P76" s="6">
        <v>0.0</v>
      </c>
      <c r="Q76" s="6">
        <v>278.988667005533</v>
      </c>
    </row>
    <row r="77">
      <c r="A77" s="6">
        <v>75.0</v>
      </c>
      <c r="B77" s="7">
        <v>45771.0</v>
      </c>
      <c r="C77" s="6">
        <v>274.623601720223</v>
      </c>
      <c r="D77" s="6">
        <v>241.557017244328</v>
      </c>
      <c r="E77" s="6">
        <v>310.836967392002</v>
      </c>
      <c r="F77" s="6">
        <v>274.623601720223</v>
      </c>
      <c r="G77" s="6">
        <v>274.623601720223</v>
      </c>
      <c r="H77" s="6">
        <v>1.35058742613924</v>
      </c>
      <c r="I77" s="6">
        <v>1.35058742613924</v>
      </c>
      <c r="J77" s="6">
        <v>1.35058742613924</v>
      </c>
      <c r="K77" s="6">
        <v>1.35058742613924</v>
      </c>
      <c r="L77" s="6">
        <v>1.35058742613924</v>
      </c>
      <c r="M77" s="6">
        <v>1.35058742613924</v>
      </c>
      <c r="N77" s="6">
        <v>0.0</v>
      </c>
      <c r="O77" s="6">
        <v>0.0</v>
      </c>
      <c r="P77" s="6">
        <v>0.0</v>
      </c>
      <c r="Q77" s="6">
        <v>275.974189146362</v>
      </c>
    </row>
    <row r="78">
      <c r="A78" s="6">
        <v>76.0</v>
      </c>
      <c r="B78" s="7">
        <v>45772.0</v>
      </c>
      <c r="C78" s="6">
        <v>275.274608286614</v>
      </c>
      <c r="D78" s="6">
        <v>241.933402093559</v>
      </c>
      <c r="E78" s="6">
        <v>312.231909345936</v>
      </c>
      <c r="F78" s="6">
        <v>275.274608286614</v>
      </c>
      <c r="G78" s="6">
        <v>275.274608286614</v>
      </c>
      <c r="H78" s="6">
        <v>2.5695843584074</v>
      </c>
      <c r="I78" s="6">
        <v>2.5695843584074</v>
      </c>
      <c r="J78" s="6">
        <v>2.5695843584074</v>
      </c>
      <c r="K78" s="6">
        <v>2.5695843584074</v>
      </c>
      <c r="L78" s="6">
        <v>2.5695843584074</v>
      </c>
      <c r="M78" s="6">
        <v>2.5695843584074</v>
      </c>
      <c r="N78" s="6">
        <v>0.0</v>
      </c>
      <c r="O78" s="6">
        <v>0.0</v>
      </c>
      <c r="P78" s="6">
        <v>0.0</v>
      </c>
      <c r="Q78" s="6">
        <v>277.844192645022</v>
      </c>
    </row>
    <row r="79">
      <c r="A79" s="6">
        <v>77.0</v>
      </c>
      <c r="B79" s="7">
        <v>45775.0</v>
      </c>
      <c r="C79" s="6">
        <v>277.227627985789</v>
      </c>
      <c r="D79" s="6">
        <v>244.749352538602</v>
      </c>
      <c r="E79" s="6">
        <v>315.566840447311</v>
      </c>
      <c r="F79" s="6">
        <v>277.227627985789</v>
      </c>
      <c r="G79" s="6">
        <v>277.227627985789</v>
      </c>
      <c r="H79" s="6">
        <v>3.05054208160208</v>
      </c>
      <c r="I79" s="6">
        <v>3.05054208160208</v>
      </c>
      <c r="J79" s="6">
        <v>3.05054208160208</v>
      </c>
      <c r="K79" s="6">
        <v>3.05054208160208</v>
      </c>
      <c r="L79" s="6">
        <v>3.05054208160208</v>
      </c>
      <c r="M79" s="6">
        <v>3.05054208160208</v>
      </c>
      <c r="N79" s="6">
        <v>0.0</v>
      </c>
      <c r="O79" s="6">
        <v>0.0</v>
      </c>
      <c r="P79" s="6">
        <v>0.0</v>
      </c>
      <c r="Q79" s="6">
        <v>280.278170067391</v>
      </c>
    </row>
    <row r="80">
      <c r="A80" s="6">
        <v>78.0</v>
      </c>
      <c r="B80" s="7">
        <v>45776.0</v>
      </c>
      <c r="C80" s="6">
        <v>277.87863455218</v>
      </c>
      <c r="D80" s="6">
        <v>242.590594416808</v>
      </c>
      <c r="E80" s="6">
        <v>318.03210872588</v>
      </c>
      <c r="F80" s="6">
        <v>277.87863455218</v>
      </c>
      <c r="G80" s="6">
        <v>277.87863455218</v>
      </c>
      <c r="H80" s="6">
        <v>2.33751047961012</v>
      </c>
      <c r="I80" s="6">
        <v>2.33751047961012</v>
      </c>
      <c r="J80" s="6">
        <v>2.33751047961012</v>
      </c>
      <c r="K80" s="6">
        <v>2.33751047961012</v>
      </c>
      <c r="L80" s="6">
        <v>2.33751047961012</v>
      </c>
      <c r="M80" s="6">
        <v>2.33751047961012</v>
      </c>
      <c r="N80" s="6">
        <v>0.0</v>
      </c>
      <c r="O80" s="6">
        <v>0.0</v>
      </c>
      <c r="P80" s="6">
        <v>0.0</v>
      </c>
      <c r="Q80" s="6">
        <v>280.21614503179</v>
      </c>
    </row>
    <row r="81">
      <c r="A81" s="6">
        <v>79.0</v>
      </c>
      <c r="B81" s="7">
        <v>45777.0</v>
      </c>
      <c r="C81" s="6">
        <v>278.529641118572</v>
      </c>
      <c r="D81" s="6">
        <v>248.276758089543</v>
      </c>
      <c r="E81" s="6">
        <v>317.921348980008</v>
      </c>
      <c r="F81" s="6">
        <v>278.529641118572</v>
      </c>
      <c r="G81" s="6">
        <v>278.529641118572</v>
      </c>
      <c r="H81" s="6">
        <v>5.01607185170127</v>
      </c>
      <c r="I81" s="6">
        <v>5.01607185170127</v>
      </c>
      <c r="J81" s="6">
        <v>5.01607185170127</v>
      </c>
      <c r="K81" s="6">
        <v>5.01607185170127</v>
      </c>
      <c r="L81" s="6">
        <v>5.01607185170127</v>
      </c>
      <c r="M81" s="6">
        <v>5.01607185170127</v>
      </c>
      <c r="N81" s="6">
        <v>0.0</v>
      </c>
      <c r="O81" s="6">
        <v>0.0</v>
      </c>
      <c r="P81" s="6">
        <v>0.0</v>
      </c>
      <c r="Q81" s="6">
        <v>283.545712970273</v>
      </c>
    </row>
    <row r="82">
      <c r="A82" s="6">
        <v>80.0</v>
      </c>
      <c r="B82" s="7">
        <v>45778.0</v>
      </c>
      <c r="C82" s="6">
        <v>279.180647684963</v>
      </c>
      <c r="D82" s="6">
        <v>245.959185693567</v>
      </c>
      <c r="E82" s="6">
        <v>315.518257917312</v>
      </c>
      <c r="F82" s="6">
        <v>279.180647684963</v>
      </c>
      <c r="G82" s="6">
        <v>279.180647684963</v>
      </c>
      <c r="H82" s="6">
        <v>1.35058742614167</v>
      </c>
      <c r="I82" s="6">
        <v>1.35058742614167</v>
      </c>
      <c r="J82" s="6">
        <v>1.35058742614167</v>
      </c>
      <c r="K82" s="6">
        <v>1.35058742614167</v>
      </c>
      <c r="L82" s="6">
        <v>1.35058742614167</v>
      </c>
      <c r="M82" s="6">
        <v>1.35058742614167</v>
      </c>
      <c r="N82" s="6">
        <v>0.0</v>
      </c>
      <c r="O82" s="6">
        <v>0.0</v>
      </c>
      <c r="P82" s="6">
        <v>0.0</v>
      </c>
      <c r="Q82" s="6">
        <v>280.531235111105</v>
      </c>
    </row>
    <row r="83">
      <c r="A83" s="6">
        <v>81.0</v>
      </c>
      <c r="B83" s="7">
        <v>45779.0</v>
      </c>
      <c r="C83" s="6">
        <v>279.831654252408</v>
      </c>
      <c r="D83" s="6">
        <v>246.193645008267</v>
      </c>
      <c r="E83" s="6">
        <v>316.984226666665</v>
      </c>
      <c r="F83" s="6">
        <v>279.831654252408</v>
      </c>
      <c r="G83" s="6">
        <v>279.831654252408</v>
      </c>
      <c r="H83" s="6">
        <v>2.56958435841309</v>
      </c>
      <c r="I83" s="6">
        <v>2.56958435841309</v>
      </c>
      <c r="J83" s="6">
        <v>2.56958435841309</v>
      </c>
      <c r="K83" s="6">
        <v>2.56958435841309</v>
      </c>
      <c r="L83" s="6">
        <v>2.56958435841309</v>
      </c>
      <c r="M83" s="6">
        <v>2.56958435841309</v>
      </c>
      <c r="N83" s="6">
        <v>0.0</v>
      </c>
      <c r="O83" s="6">
        <v>0.0</v>
      </c>
      <c r="P83" s="6">
        <v>0.0</v>
      </c>
      <c r="Q83" s="6">
        <v>282.401238610821</v>
      </c>
    </row>
    <row r="84">
      <c r="A84" s="6">
        <v>82.0</v>
      </c>
      <c r="B84" s="7">
        <v>45782.0</v>
      </c>
      <c r="C84" s="6">
        <v>281.784673954744</v>
      </c>
      <c r="D84" s="6">
        <v>247.432569427342</v>
      </c>
      <c r="E84" s="6">
        <v>320.776321182795</v>
      </c>
      <c r="F84" s="6">
        <v>281.784673954744</v>
      </c>
      <c r="G84" s="6">
        <v>281.784673954744</v>
      </c>
      <c r="H84" s="6">
        <v>3.0505420816106</v>
      </c>
      <c r="I84" s="6">
        <v>3.0505420816106</v>
      </c>
      <c r="J84" s="6">
        <v>3.0505420816106</v>
      </c>
      <c r="K84" s="6">
        <v>3.0505420816106</v>
      </c>
      <c r="L84" s="6">
        <v>3.0505420816106</v>
      </c>
      <c r="M84" s="6">
        <v>3.0505420816106</v>
      </c>
      <c r="N84" s="6">
        <v>0.0</v>
      </c>
      <c r="O84" s="6">
        <v>0.0</v>
      </c>
      <c r="P84" s="6">
        <v>0.0</v>
      </c>
      <c r="Q84" s="6">
        <v>284.835216036355</v>
      </c>
    </row>
    <row r="85">
      <c r="A85" s="6">
        <v>83.0</v>
      </c>
      <c r="B85" s="7">
        <v>45783.0</v>
      </c>
      <c r="C85" s="6">
        <v>282.43568052219</v>
      </c>
      <c r="D85" s="6">
        <v>252.973558540581</v>
      </c>
      <c r="E85" s="6">
        <v>320.778302923142</v>
      </c>
      <c r="F85" s="6">
        <v>282.43568052219</v>
      </c>
      <c r="G85" s="6">
        <v>282.43568052219</v>
      </c>
      <c r="H85" s="6">
        <v>2.33751047960748</v>
      </c>
      <c r="I85" s="6">
        <v>2.33751047960748</v>
      </c>
      <c r="J85" s="6">
        <v>2.33751047960748</v>
      </c>
      <c r="K85" s="6">
        <v>2.33751047960748</v>
      </c>
      <c r="L85" s="6">
        <v>2.33751047960748</v>
      </c>
      <c r="M85" s="6">
        <v>2.33751047960748</v>
      </c>
      <c r="N85" s="6">
        <v>0.0</v>
      </c>
      <c r="O85" s="6">
        <v>0.0</v>
      </c>
      <c r="P85" s="6">
        <v>0.0</v>
      </c>
      <c r="Q85" s="6">
        <v>284.773191001797</v>
      </c>
    </row>
    <row r="86">
      <c r="A86" s="6">
        <v>84.0</v>
      </c>
      <c r="B86" s="7">
        <v>45784.0</v>
      </c>
      <c r="C86" s="6">
        <v>283.086687089635</v>
      </c>
      <c r="D86" s="6">
        <v>254.921732817328</v>
      </c>
      <c r="E86" s="6">
        <v>323.46382133209</v>
      </c>
      <c r="F86" s="6">
        <v>283.086687089635</v>
      </c>
      <c r="G86" s="6">
        <v>283.086687089635</v>
      </c>
      <c r="H86" s="6">
        <v>5.01607185170067</v>
      </c>
      <c r="I86" s="6">
        <v>5.01607185170067</v>
      </c>
      <c r="J86" s="6">
        <v>5.01607185170067</v>
      </c>
      <c r="K86" s="6">
        <v>5.01607185170067</v>
      </c>
      <c r="L86" s="6">
        <v>5.01607185170067</v>
      </c>
      <c r="M86" s="6">
        <v>5.01607185170067</v>
      </c>
      <c r="N86" s="6">
        <v>0.0</v>
      </c>
      <c r="O86" s="6">
        <v>0.0</v>
      </c>
      <c r="P86" s="6">
        <v>0.0</v>
      </c>
      <c r="Q86" s="6">
        <v>288.102758941336</v>
      </c>
    </row>
    <row r="87">
      <c r="A87" s="6">
        <v>85.0</v>
      </c>
      <c r="B87" s="7">
        <v>45785.0</v>
      </c>
      <c r="C87" s="6">
        <v>283.73769365708</v>
      </c>
      <c r="D87" s="6">
        <v>250.182975936625</v>
      </c>
      <c r="E87" s="6">
        <v>320.981768254297</v>
      </c>
      <c r="F87" s="6">
        <v>283.73769365708</v>
      </c>
      <c r="G87" s="6">
        <v>283.73769365708</v>
      </c>
      <c r="H87" s="6">
        <v>1.3505874261401</v>
      </c>
      <c r="I87" s="6">
        <v>1.3505874261401</v>
      </c>
      <c r="J87" s="6">
        <v>1.3505874261401</v>
      </c>
      <c r="K87" s="6">
        <v>1.3505874261401</v>
      </c>
      <c r="L87" s="6">
        <v>1.3505874261401</v>
      </c>
      <c r="M87" s="6">
        <v>1.3505874261401</v>
      </c>
      <c r="N87" s="6">
        <v>0.0</v>
      </c>
      <c r="O87" s="6">
        <v>0.0</v>
      </c>
      <c r="P87" s="6">
        <v>0.0</v>
      </c>
      <c r="Q87" s="6">
        <v>285.08828108322</v>
      </c>
    </row>
    <row r="88">
      <c r="A88" s="6">
        <v>86.0</v>
      </c>
      <c r="B88" s="7">
        <v>45786.0</v>
      </c>
      <c r="C88" s="6">
        <v>284.388700224526</v>
      </c>
      <c r="D88" s="6">
        <v>251.575499663896</v>
      </c>
      <c r="E88" s="6">
        <v>324.080082364079</v>
      </c>
      <c r="F88" s="6">
        <v>284.388700224526</v>
      </c>
      <c r="G88" s="6">
        <v>284.388700224526</v>
      </c>
      <c r="H88" s="6">
        <v>2.56958435841878</v>
      </c>
      <c r="I88" s="6">
        <v>2.56958435841878</v>
      </c>
      <c r="J88" s="6">
        <v>2.56958435841878</v>
      </c>
      <c r="K88" s="6">
        <v>2.56958435841878</v>
      </c>
      <c r="L88" s="6">
        <v>2.56958435841878</v>
      </c>
      <c r="M88" s="6">
        <v>2.56958435841878</v>
      </c>
      <c r="N88" s="6">
        <v>0.0</v>
      </c>
      <c r="O88" s="6">
        <v>0.0</v>
      </c>
      <c r="P88" s="6">
        <v>0.0</v>
      </c>
      <c r="Q88" s="6">
        <v>286.958284582944</v>
      </c>
    </row>
    <row r="89">
      <c r="A89" s="6">
        <v>87.0</v>
      </c>
      <c r="B89" s="7">
        <v>45789.0</v>
      </c>
      <c r="C89" s="6">
        <v>286.341719926862</v>
      </c>
      <c r="D89" s="6">
        <v>253.941405051993</v>
      </c>
      <c r="E89" s="6">
        <v>325.007071374339</v>
      </c>
      <c r="F89" s="6">
        <v>286.341719926862</v>
      </c>
      <c r="G89" s="6">
        <v>286.341719926862</v>
      </c>
      <c r="H89" s="6">
        <v>3.05054208161912</v>
      </c>
      <c r="I89" s="6">
        <v>3.05054208161912</v>
      </c>
      <c r="J89" s="6">
        <v>3.05054208161912</v>
      </c>
      <c r="K89" s="6">
        <v>3.05054208161912</v>
      </c>
      <c r="L89" s="6">
        <v>3.05054208161912</v>
      </c>
      <c r="M89" s="6">
        <v>3.05054208161912</v>
      </c>
      <c r="N89" s="6">
        <v>0.0</v>
      </c>
      <c r="O89" s="6">
        <v>0.0</v>
      </c>
      <c r="P89" s="6">
        <v>0.0</v>
      </c>
      <c r="Q89" s="6">
        <v>289.392262008481</v>
      </c>
    </row>
    <row r="90">
      <c r="A90" s="6">
        <v>88.0</v>
      </c>
      <c r="B90" s="7">
        <v>45790.0</v>
      </c>
      <c r="C90" s="6">
        <v>286.992726494307</v>
      </c>
      <c r="D90" s="6">
        <v>255.948389847465</v>
      </c>
      <c r="E90" s="6">
        <v>324.103148351021</v>
      </c>
      <c r="F90" s="6">
        <v>286.992726494307</v>
      </c>
      <c r="G90" s="6">
        <v>286.992726494307</v>
      </c>
      <c r="H90" s="6">
        <v>2.33751047961251</v>
      </c>
      <c r="I90" s="6">
        <v>2.33751047961251</v>
      </c>
      <c r="J90" s="6">
        <v>2.33751047961251</v>
      </c>
      <c r="K90" s="6">
        <v>2.33751047961251</v>
      </c>
      <c r="L90" s="6">
        <v>2.33751047961251</v>
      </c>
      <c r="M90" s="6">
        <v>2.33751047961251</v>
      </c>
      <c r="N90" s="6">
        <v>0.0</v>
      </c>
      <c r="O90" s="6">
        <v>0.0</v>
      </c>
      <c r="P90" s="6">
        <v>0.0</v>
      </c>
      <c r="Q90" s="6">
        <v>289.330236973919</v>
      </c>
    </row>
    <row r="91">
      <c r="A91" s="6">
        <v>89.0</v>
      </c>
      <c r="B91" s="7">
        <v>45791.0</v>
      </c>
      <c r="C91" s="6">
        <v>287.643733039598</v>
      </c>
      <c r="D91" s="6">
        <v>257.795039679364</v>
      </c>
      <c r="E91" s="6">
        <v>327.520845303753</v>
      </c>
      <c r="F91" s="6">
        <v>287.643733039598</v>
      </c>
      <c r="G91" s="6">
        <v>287.643733039598</v>
      </c>
      <c r="H91" s="6">
        <v>5.01607185170018</v>
      </c>
      <c r="I91" s="6">
        <v>5.01607185170018</v>
      </c>
      <c r="J91" s="6">
        <v>5.01607185170018</v>
      </c>
      <c r="K91" s="6">
        <v>5.01607185170018</v>
      </c>
      <c r="L91" s="6">
        <v>5.01607185170018</v>
      </c>
      <c r="M91" s="6">
        <v>5.01607185170018</v>
      </c>
      <c r="N91" s="6">
        <v>0.0</v>
      </c>
      <c r="O91" s="6">
        <v>0.0</v>
      </c>
      <c r="P91" s="6">
        <v>0.0</v>
      </c>
      <c r="Q91" s="6">
        <v>292.659804891298</v>
      </c>
    </row>
    <row r="92">
      <c r="A92" s="6">
        <v>90.0</v>
      </c>
      <c r="B92" s="7">
        <v>45792.0</v>
      </c>
      <c r="C92" s="6">
        <v>288.294739584889</v>
      </c>
      <c r="D92" s="6">
        <v>254.706842727839</v>
      </c>
      <c r="E92" s="6">
        <v>325.691816163928</v>
      </c>
      <c r="F92" s="6">
        <v>288.294739584889</v>
      </c>
      <c r="G92" s="6">
        <v>288.294739584889</v>
      </c>
      <c r="H92" s="6">
        <v>1.35058742613506</v>
      </c>
      <c r="I92" s="6">
        <v>1.35058742613506</v>
      </c>
      <c r="J92" s="6">
        <v>1.35058742613506</v>
      </c>
      <c r="K92" s="6">
        <v>1.35058742613506</v>
      </c>
      <c r="L92" s="6">
        <v>1.35058742613506</v>
      </c>
      <c r="M92" s="6">
        <v>1.35058742613506</v>
      </c>
      <c r="N92" s="6">
        <v>0.0</v>
      </c>
      <c r="O92" s="6">
        <v>0.0</v>
      </c>
      <c r="P92" s="6">
        <v>0.0</v>
      </c>
      <c r="Q92" s="6">
        <v>289.645327011024</v>
      </c>
    </row>
    <row r="93">
      <c r="A93" s="6">
        <v>91.0</v>
      </c>
      <c r="B93" s="7">
        <v>45793.0</v>
      </c>
      <c r="C93" s="6">
        <v>288.945746130179</v>
      </c>
      <c r="D93" s="6">
        <v>258.037636854626</v>
      </c>
      <c r="E93" s="6">
        <v>324.403771576699</v>
      </c>
      <c r="F93" s="6">
        <v>288.945746130179</v>
      </c>
      <c r="G93" s="6">
        <v>288.945746130179</v>
      </c>
      <c r="H93" s="6">
        <v>2.5695843584109</v>
      </c>
      <c r="I93" s="6">
        <v>2.5695843584109</v>
      </c>
      <c r="J93" s="6">
        <v>2.5695843584109</v>
      </c>
      <c r="K93" s="6">
        <v>2.5695843584109</v>
      </c>
      <c r="L93" s="6">
        <v>2.5695843584109</v>
      </c>
      <c r="M93" s="6">
        <v>2.5695843584109</v>
      </c>
      <c r="N93" s="6">
        <v>0.0</v>
      </c>
      <c r="O93" s="6">
        <v>0.0</v>
      </c>
      <c r="P93" s="6">
        <v>0.0</v>
      </c>
      <c r="Q93" s="6">
        <v>291.51533048859</v>
      </c>
    </row>
    <row r="94">
      <c r="A94" s="6">
        <v>92.0</v>
      </c>
      <c r="B94" s="7">
        <v>45796.0</v>
      </c>
      <c r="C94" s="6">
        <v>290.898765766052</v>
      </c>
      <c r="D94" s="6">
        <v>259.460373099019</v>
      </c>
      <c r="E94" s="6">
        <v>328.753177415658</v>
      </c>
      <c r="F94" s="6">
        <v>290.898765766052</v>
      </c>
      <c r="G94" s="6">
        <v>290.898765766052</v>
      </c>
      <c r="H94" s="6">
        <v>3.05054208159788</v>
      </c>
      <c r="I94" s="6">
        <v>3.05054208159788</v>
      </c>
      <c r="J94" s="6">
        <v>3.05054208159788</v>
      </c>
      <c r="K94" s="6">
        <v>3.05054208159788</v>
      </c>
      <c r="L94" s="6">
        <v>3.05054208159788</v>
      </c>
      <c r="M94" s="6">
        <v>3.05054208159788</v>
      </c>
      <c r="N94" s="6">
        <v>0.0</v>
      </c>
      <c r="O94" s="6">
        <v>0.0</v>
      </c>
      <c r="P94" s="6">
        <v>0.0</v>
      </c>
      <c r="Q94" s="6">
        <v>293.94930784765</v>
      </c>
    </row>
    <row r="95">
      <c r="A95" s="6">
        <v>93.0</v>
      </c>
      <c r="B95" s="7">
        <v>45797.0</v>
      </c>
      <c r="C95" s="6">
        <v>291.549772311343</v>
      </c>
      <c r="D95" s="6">
        <v>258.229181596141</v>
      </c>
      <c r="E95" s="6">
        <v>327.630545412421</v>
      </c>
      <c r="F95" s="6">
        <v>291.549772311343</v>
      </c>
      <c r="G95" s="6">
        <v>291.549772311343</v>
      </c>
      <c r="H95" s="6">
        <v>2.33751047960712</v>
      </c>
      <c r="I95" s="6">
        <v>2.33751047960712</v>
      </c>
      <c r="J95" s="6">
        <v>2.33751047960712</v>
      </c>
      <c r="K95" s="6">
        <v>2.33751047960712</v>
      </c>
      <c r="L95" s="6">
        <v>2.33751047960712</v>
      </c>
      <c r="M95" s="6">
        <v>2.33751047960712</v>
      </c>
      <c r="N95" s="6">
        <v>0.0</v>
      </c>
      <c r="O95" s="6">
        <v>0.0</v>
      </c>
      <c r="P95" s="6">
        <v>0.0</v>
      </c>
      <c r="Q95" s="6">
        <v>293.88728279095</v>
      </c>
    </row>
    <row r="96">
      <c r="A96" s="6">
        <v>94.0</v>
      </c>
      <c r="B96" s="7">
        <v>45798.0</v>
      </c>
      <c r="C96" s="6">
        <v>292.200778856634</v>
      </c>
      <c r="D96" s="6">
        <v>259.049689928545</v>
      </c>
      <c r="E96" s="6">
        <v>332.403282148479</v>
      </c>
      <c r="F96" s="6">
        <v>292.200778856634</v>
      </c>
      <c r="G96" s="6">
        <v>292.200778856634</v>
      </c>
      <c r="H96" s="6">
        <v>5.01607185169957</v>
      </c>
      <c r="I96" s="6">
        <v>5.01607185169957</v>
      </c>
      <c r="J96" s="6">
        <v>5.01607185169957</v>
      </c>
      <c r="K96" s="6">
        <v>5.01607185169957</v>
      </c>
      <c r="L96" s="6">
        <v>5.01607185169957</v>
      </c>
      <c r="M96" s="6">
        <v>5.01607185169957</v>
      </c>
      <c r="N96" s="6">
        <v>0.0</v>
      </c>
      <c r="O96" s="6">
        <v>0.0</v>
      </c>
      <c r="P96" s="6">
        <v>0.0</v>
      </c>
      <c r="Q96" s="6">
        <v>297.216850708333</v>
      </c>
    </row>
    <row r="97">
      <c r="A97" s="6">
        <v>95.0</v>
      </c>
      <c r="B97" s="7">
        <v>45799.0</v>
      </c>
      <c r="C97" s="6">
        <v>292.851785401924</v>
      </c>
      <c r="D97" s="6">
        <v>254.893595193505</v>
      </c>
      <c r="E97" s="6">
        <v>331.490929943513</v>
      </c>
      <c r="F97" s="6">
        <v>292.851785401924</v>
      </c>
      <c r="G97" s="6">
        <v>292.851785401924</v>
      </c>
      <c r="H97" s="6">
        <v>1.35058742614495</v>
      </c>
      <c r="I97" s="6">
        <v>1.35058742614495</v>
      </c>
      <c r="J97" s="6">
        <v>1.35058742614495</v>
      </c>
      <c r="K97" s="6">
        <v>1.35058742614495</v>
      </c>
      <c r="L97" s="6">
        <v>1.35058742614495</v>
      </c>
      <c r="M97" s="6">
        <v>1.35058742614495</v>
      </c>
      <c r="N97" s="6">
        <v>0.0</v>
      </c>
      <c r="O97" s="6">
        <v>0.0</v>
      </c>
      <c r="P97" s="6">
        <v>0.0</v>
      </c>
      <c r="Q97" s="6">
        <v>294.202372828069</v>
      </c>
    </row>
    <row r="98">
      <c r="A98" s="6">
        <v>96.0</v>
      </c>
      <c r="B98" s="7">
        <v>45800.0</v>
      </c>
      <c r="C98" s="6">
        <v>293.502791947215</v>
      </c>
      <c r="D98" s="6">
        <v>259.810005902958</v>
      </c>
      <c r="E98" s="6">
        <v>331.014666844575</v>
      </c>
      <c r="F98" s="6">
        <v>293.502791947215</v>
      </c>
      <c r="G98" s="6">
        <v>293.502791947215</v>
      </c>
      <c r="H98" s="6">
        <v>2.56958435840303</v>
      </c>
      <c r="I98" s="6">
        <v>2.56958435840303</v>
      </c>
      <c r="J98" s="6">
        <v>2.56958435840303</v>
      </c>
      <c r="K98" s="6">
        <v>2.56958435840303</v>
      </c>
      <c r="L98" s="6">
        <v>2.56958435840303</v>
      </c>
      <c r="M98" s="6">
        <v>2.56958435840303</v>
      </c>
      <c r="N98" s="6">
        <v>0.0</v>
      </c>
      <c r="O98" s="6">
        <v>0.0</v>
      </c>
      <c r="P98" s="6">
        <v>0.0</v>
      </c>
      <c r="Q98" s="6">
        <v>296.072376305618</v>
      </c>
    </row>
    <row r="99">
      <c r="A99" s="6">
        <v>97.0</v>
      </c>
      <c r="B99" s="7">
        <v>45804.0</v>
      </c>
      <c r="C99" s="6">
        <v>296.106760796042</v>
      </c>
      <c r="D99" s="6">
        <v>262.287820690561</v>
      </c>
      <c r="E99" s="6">
        <v>331.22862317699</v>
      </c>
      <c r="F99" s="6">
        <v>296.106760796042</v>
      </c>
      <c r="G99" s="6">
        <v>296.106760796042</v>
      </c>
      <c r="H99" s="6">
        <v>2.33751047961214</v>
      </c>
      <c r="I99" s="6">
        <v>2.33751047961214</v>
      </c>
      <c r="J99" s="6">
        <v>2.33751047961214</v>
      </c>
      <c r="K99" s="6">
        <v>2.33751047961214</v>
      </c>
      <c r="L99" s="6">
        <v>2.33751047961214</v>
      </c>
      <c r="M99" s="6">
        <v>2.33751047961214</v>
      </c>
      <c r="N99" s="6">
        <v>0.0</v>
      </c>
      <c r="O99" s="6">
        <v>0.0</v>
      </c>
      <c r="P99" s="6">
        <v>0.0</v>
      </c>
      <c r="Q99" s="6">
        <v>298.444271275654</v>
      </c>
    </row>
    <row r="100">
      <c r="A100" s="6">
        <v>98.0</v>
      </c>
      <c r="B100" s="7">
        <v>45805.0</v>
      </c>
      <c r="C100" s="6">
        <v>296.757753008249</v>
      </c>
      <c r="D100" s="6">
        <v>266.376756597358</v>
      </c>
      <c r="E100" s="6">
        <v>337.221267042202</v>
      </c>
      <c r="F100" s="6">
        <v>296.757753008249</v>
      </c>
      <c r="G100" s="6">
        <v>296.757753008249</v>
      </c>
      <c r="H100" s="6">
        <v>5.01607185169908</v>
      </c>
      <c r="I100" s="6">
        <v>5.01607185169908</v>
      </c>
      <c r="J100" s="6">
        <v>5.01607185169908</v>
      </c>
      <c r="K100" s="6">
        <v>5.01607185169908</v>
      </c>
      <c r="L100" s="6">
        <v>5.01607185169908</v>
      </c>
      <c r="M100" s="6">
        <v>5.01607185169908</v>
      </c>
      <c r="N100" s="6">
        <v>0.0</v>
      </c>
      <c r="O100" s="6">
        <v>0.0</v>
      </c>
      <c r="P100" s="6">
        <v>0.0</v>
      </c>
      <c r="Q100" s="6">
        <v>301.773824859948</v>
      </c>
    </row>
    <row r="101">
      <c r="A101" s="6">
        <v>99.0</v>
      </c>
      <c r="B101" s="7">
        <v>45806.0</v>
      </c>
      <c r="C101" s="6">
        <v>297.408745220455</v>
      </c>
      <c r="D101" s="6">
        <v>264.185816917521</v>
      </c>
      <c r="E101" s="6">
        <v>332.027662366453</v>
      </c>
      <c r="F101" s="6">
        <v>297.408745220455</v>
      </c>
      <c r="G101" s="6">
        <v>297.408745220455</v>
      </c>
      <c r="H101" s="6">
        <v>1.35058742613991</v>
      </c>
      <c r="I101" s="6">
        <v>1.35058742613991</v>
      </c>
      <c r="J101" s="6">
        <v>1.35058742613991</v>
      </c>
      <c r="K101" s="6">
        <v>1.35058742613991</v>
      </c>
      <c r="L101" s="6">
        <v>1.35058742613991</v>
      </c>
      <c r="M101" s="6">
        <v>1.35058742613991</v>
      </c>
      <c r="N101" s="6">
        <v>0.0</v>
      </c>
      <c r="O101" s="6">
        <v>0.0</v>
      </c>
      <c r="P101" s="6">
        <v>0.0</v>
      </c>
      <c r="Q101" s="6">
        <v>298.759332646595</v>
      </c>
    </row>
    <row r="102">
      <c r="A102" s="6">
        <v>100.0</v>
      </c>
      <c r="B102" s="7">
        <v>45807.0</v>
      </c>
      <c r="C102" s="6">
        <v>298.059737432662</v>
      </c>
      <c r="D102" s="6">
        <v>265.475118462697</v>
      </c>
      <c r="E102" s="6">
        <v>338.835277793914</v>
      </c>
      <c r="F102" s="6">
        <v>298.059737432662</v>
      </c>
      <c r="G102" s="6">
        <v>298.059737432662</v>
      </c>
      <c r="H102" s="6">
        <v>2.56958435840796</v>
      </c>
      <c r="I102" s="6">
        <v>2.56958435840796</v>
      </c>
      <c r="J102" s="6">
        <v>2.56958435840796</v>
      </c>
      <c r="K102" s="6">
        <v>2.56958435840796</v>
      </c>
      <c r="L102" s="6">
        <v>2.56958435840796</v>
      </c>
      <c r="M102" s="6">
        <v>2.56958435840796</v>
      </c>
      <c r="N102" s="6">
        <v>0.0</v>
      </c>
      <c r="O102" s="6">
        <v>0.0</v>
      </c>
      <c r="P102" s="6">
        <v>0.0</v>
      </c>
      <c r="Q102" s="6">
        <v>300.62932179107</v>
      </c>
    </row>
    <row r="103">
      <c r="A103" s="6">
        <v>101.0</v>
      </c>
      <c r="B103" s="7">
        <v>45810.0</v>
      </c>
      <c r="C103" s="6">
        <v>300.012714069282</v>
      </c>
      <c r="D103" s="6">
        <v>267.166325945421</v>
      </c>
      <c r="E103" s="6">
        <v>338.63177377657</v>
      </c>
      <c r="F103" s="6">
        <v>300.012714069282</v>
      </c>
      <c r="G103" s="6">
        <v>300.012714069282</v>
      </c>
      <c r="H103" s="6">
        <v>3.05054208161493</v>
      </c>
      <c r="I103" s="6">
        <v>3.05054208161493</v>
      </c>
      <c r="J103" s="6">
        <v>3.05054208161493</v>
      </c>
      <c r="K103" s="6">
        <v>3.05054208161493</v>
      </c>
      <c r="L103" s="6">
        <v>3.05054208161493</v>
      </c>
      <c r="M103" s="6">
        <v>3.05054208161493</v>
      </c>
      <c r="N103" s="6">
        <v>0.0</v>
      </c>
      <c r="O103" s="6">
        <v>0.0</v>
      </c>
      <c r="P103" s="6">
        <v>0.0</v>
      </c>
      <c r="Q103" s="6">
        <v>303.063256150897</v>
      </c>
    </row>
    <row r="104">
      <c r="A104" s="6">
        <v>102.0</v>
      </c>
      <c r="B104" s="7">
        <v>45811.0</v>
      </c>
      <c r="C104" s="6">
        <v>300.663706281489</v>
      </c>
      <c r="D104" s="6">
        <v>267.703987317732</v>
      </c>
      <c r="E104" s="6">
        <v>337.317332475358</v>
      </c>
      <c r="F104" s="6">
        <v>300.663706281489</v>
      </c>
      <c r="G104" s="6">
        <v>300.663706281489</v>
      </c>
      <c r="H104" s="6">
        <v>2.33751047960185</v>
      </c>
      <c r="I104" s="6">
        <v>2.33751047960185</v>
      </c>
      <c r="J104" s="6">
        <v>2.33751047960185</v>
      </c>
      <c r="K104" s="6">
        <v>2.33751047960185</v>
      </c>
      <c r="L104" s="6">
        <v>2.33751047960185</v>
      </c>
      <c r="M104" s="6">
        <v>2.33751047960185</v>
      </c>
      <c r="N104" s="6">
        <v>0.0</v>
      </c>
      <c r="O104" s="6">
        <v>0.0</v>
      </c>
      <c r="P104" s="6">
        <v>0.0</v>
      </c>
      <c r="Q104" s="6">
        <v>303.001216761091</v>
      </c>
    </row>
    <row r="105">
      <c r="A105" s="6">
        <v>103.0</v>
      </c>
      <c r="B105" s="7">
        <v>45812.0</v>
      </c>
      <c r="C105" s="6">
        <v>301.314698493696</v>
      </c>
      <c r="D105" s="6">
        <v>269.846539764071</v>
      </c>
      <c r="E105" s="6">
        <v>345.270501065767</v>
      </c>
      <c r="F105" s="6">
        <v>301.314698493696</v>
      </c>
      <c r="G105" s="6">
        <v>301.314698493696</v>
      </c>
      <c r="H105" s="6">
        <v>5.01607185170144</v>
      </c>
      <c r="I105" s="6">
        <v>5.01607185170144</v>
      </c>
      <c r="J105" s="6">
        <v>5.01607185170144</v>
      </c>
      <c r="K105" s="6">
        <v>5.01607185170144</v>
      </c>
      <c r="L105" s="6">
        <v>5.01607185170144</v>
      </c>
      <c r="M105" s="6">
        <v>5.01607185170144</v>
      </c>
      <c r="N105" s="6">
        <v>0.0</v>
      </c>
      <c r="O105" s="6">
        <v>0.0</v>
      </c>
      <c r="P105" s="6">
        <v>0.0</v>
      </c>
      <c r="Q105" s="6">
        <v>306.330770345397</v>
      </c>
    </row>
    <row r="106">
      <c r="A106" s="6">
        <v>104.0</v>
      </c>
      <c r="B106" s="7">
        <v>45813.0</v>
      </c>
      <c r="C106" s="6">
        <v>301.965690671474</v>
      </c>
      <c r="D106" s="6">
        <v>269.37910382651</v>
      </c>
      <c r="E106" s="6">
        <v>336.981742042346</v>
      </c>
      <c r="F106" s="6">
        <v>301.965690671474</v>
      </c>
      <c r="G106" s="6">
        <v>301.965690671474</v>
      </c>
      <c r="H106" s="6">
        <v>1.35058742614233</v>
      </c>
      <c r="I106" s="6">
        <v>1.35058742614233</v>
      </c>
      <c r="J106" s="6">
        <v>1.35058742614233</v>
      </c>
      <c r="K106" s="6">
        <v>1.35058742614233</v>
      </c>
      <c r="L106" s="6">
        <v>1.35058742614233</v>
      </c>
      <c r="M106" s="6">
        <v>1.35058742614233</v>
      </c>
      <c r="N106" s="6">
        <v>0.0</v>
      </c>
      <c r="O106" s="6">
        <v>0.0</v>
      </c>
      <c r="P106" s="6">
        <v>0.0</v>
      </c>
      <c r="Q106" s="6">
        <v>303.316278097616</v>
      </c>
    </row>
    <row r="107">
      <c r="A107" s="6">
        <v>105.0</v>
      </c>
      <c r="B107" s="7">
        <v>45814.0</v>
      </c>
      <c r="C107" s="6">
        <v>302.616682849253</v>
      </c>
      <c r="D107" s="6">
        <v>271.190385175723</v>
      </c>
      <c r="E107" s="6">
        <v>342.925671712932</v>
      </c>
      <c r="F107" s="6">
        <v>302.616682849253</v>
      </c>
      <c r="G107" s="6">
        <v>302.616682849253</v>
      </c>
      <c r="H107" s="6">
        <v>2.56958435841365</v>
      </c>
      <c r="I107" s="6">
        <v>2.56958435841365</v>
      </c>
      <c r="J107" s="6">
        <v>2.56958435841365</v>
      </c>
      <c r="K107" s="6">
        <v>2.56958435841365</v>
      </c>
      <c r="L107" s="6">
        <v>2.56958435841365</v>
      </c>
      <c r="M107" s="6">
        <v>2.56958435841365</v>
      </c>
      <c r="N107" s="6">
        <v>0.0</v>
      </c>
      <c r="O107" s="6">
        <v>0.0</v>
      </c>
      <c r="P107" s="6">
        <v>0.0</v>
      </c>
      <c r="Q107" s="6">
        <v>305.186267207666</v>
      </c>
    </row>
    <row r="108">
      <c r="A108" s="6">
        <v>106.0</v>
      </c>
      <c r="B108" s="7">
        <v>45817.0</v>
      </c>
      <c r="C108" s="6">
        <v>304.569659382588</v>
      </c>
      <c r="D108" s="6">
        <v>271.561735685377</v>
      </c>
      <c r="E108" s="6">
        <v>345.120071140707</v>
      </c>
      <c r="F108" s="6">
        <v>304.569659382588</v>
      </c>
      <c r="G108" s="6">
        <v>304.569659382588</v>
      </c>
      <c r="H108" s="6">
        <v>3.05054208160975</v>
      </c>
      <c r="I108" s="6">
        <v>3.05054208160975</v>
      </c>
      <c r="J108" s="6">
        <v>3.05054208160975</v>
      </c>
      <c r="K108" s="6">
        <v>3.05054208160975</v>
      </c>
      <c r="L108" s="6">
        <v>3.05054208160975</v>
      </c>
      <c r="M108" s="6">
        <v>3.05054208160975</v>
      </c>
      <c r="N108" s="6">
        <v>0.0</v>
      </c>
      <c r="O108" s="6">
        <v>0.0</v>
      </c>
      <c r="P108" s="6">
        <v>0.0</v>
      </c>
      <c r="Q108" s="6">
        <v>307.620201464198</v>
      </c>
    </row>
    <row r="109">
      <c r="A109" s="6">
        <v>107.0</v>
      </c>
      <c r="B109" s="7">
        <v>45818.0</v>
      </c>
      <c r="C109" s="6">
        <v>305.220651560366</v>
      </c>
      <c r="D109" s="6">
        <v>272.876764974176</v>
      </c>
      <c r="E109" s="6">
        <v>344.75107554982</v>
      </c>
      <c r="F109" s="6">
        <v>305.220651560366</v>
      </c>
      <c r="G109" s="6">
        <v>305.220651560366</v>
      </c>
      <c r="H109" s="6">
        <v>2.33751047960688</v>
      </c>
      <c r="I109" s="6">
        <v>2.33751047960688</v>
      </c>
      <c r="J109" s="6">
        <v>2.33751047960688</v>
      </c>
      <c r="K109" s="6">
        <v>2.33751047960688</v>
      </c>
      <c r="L109" s="6">
        <v>2.33751047960688</v>
      </c>
      <c r="M109" s="6">
        <v>2.33751047960688</v>
      </c>
      <c r="N109" s="6">
        <v>0.0</v>
      </c>
      <c r="O109" s="6">
        <v>0.0</v>
      </c>
      <c r="P109" s="6">
        <v>0.0</v>
      </c>
      <c r="Q109" s="6">
        <v>307.558162039973</v>
      </c>
    </row>
    <row r="110">
      <c r="A110" s="6">
        <v>108.0</v>
      </c>
      <c r="B110" s="7">
        <v>45819.0</v>
      </c>
      <c r="C110" s="6">
        <v>305.871643738145</v>
      </c>
      <c r="D110" s="6">
        <v>275.580327022739</v>
      </c>
      <c r="E110" s="6">
        <v>347.063518890471</v>
      </c>
      <c r="F110" s="6">
        <v>305.871643738145</v>
      </c>
      <c r="G110" s="6">
        <v>305.871643738145</v>
      </c>
      <c r="H110" s="6">
        <v>5.01607185170095</v>
      </c>
      <c r="I110" s="6">
        <v>5.01607185170095</v>
      </c>
      <c r="J110" s="6">
        <v>5.01607185170095</v>
      </c>
      <c r="K110" s="6">
        <v>5.01607185170095</v>
      </c>
      <c r="L110" s="6">
        <v>5.01607185170095</v>
      </c>
      <c r="M110" s="6">
        <v>5.01607185170095</v>
      </c>
      <c r="N110" s="6">
        <v>0.0</v>
      </c>
      <c r="O110" s="6">
        <v>0.0</v>
      </c>
      <c r="P110" s="6">
        <v>0.0</v>
      </c>
      <c r="Q110" s="6">
        <v>310.887715589846</v>
      </c>
    </row>
    <row r="111">
      <c r="A111" s="6">
        <v>109.0</v>
      </c>
      <c r="B111" s="7">
        <v>45820.0</v>
      </c>
      <c r="C111" s="6">
        <v>306.522635915923</v>
      </c>
      <c r="D111" s="6">
        <v>272.9855497261</v>
      </c>
      <c r="E111" s="6">
        <v>342.39199677681</v>
      </c>
      <c r="F111" s="6">
        <v>306.522635915923</v>
      </c>
      <c r="G111" s="6">
        <v>306.522635915923</v>
      </c>
      <c r="H111" s="6">
        <v>1.35058742613729</v>
      </c>
      <c r="I111" s="6">
        <v>1.35058742613729</v>
      </c>
      <c r="J111" s="6">
        <v>1.35058742613729</v>
      </c>
      <c r="K111" s="6">
        <v>1.35058742613729</v>
      </c>
      <c r="L111" s="6">
        <v>1.35058742613729</v>
      </c>
      <c r="M111" s="6">
        <v>1.35058742613729</v>
      </c>
      <c r="N111" s="6">
        <v>0.0</v>
      </c>
      <c r="O111" s="6">
        <v>0.0</v>
      </c>
      <c r="P111" s="6">
        <v>0.0</v>
      </c>
      <c r="Q111" s="6">
        <v>307.873223342061</v>
      </c>
    </row>
    <row r="112">
      <c r="A112" s="6">
        <v>110.0</v>
      </c>
      <c r="B112" s="7">
        <v>45821.0</v>
      </c>
      <c r="C112" s="6">
        <v>307.173628093702</v>
      </c>
      <c r="D112" s="6">
        <v>275.043638387736</v>
      </c>
      <c r="E112" s="6">
        <v>345.379938468768</v>
      </c>
      <c r="F112" s="6">
        <v>307.173628093702</v>
      </c>
      <c r="G112" s="6">
        <v>307.173628093702</v>
      </c>
      <c r="H112" s="6">
        <v>2.56958435840577</v>
      </c>
      <c r="I112" s="6">
        <v>2.56958435840577</v>
      </c>
      <c r="J112" s="6">
        <v>2.56958435840577</v>
      </c>
      <c r="K112" s="6">
        <v>2.56958435840577</v>
      </c>
      <c r="L112" s="6">
        <v>2.56958435840577</v>
      </c>
      <c r="M112" s="6">
        <v>2.56958435840577</v>
      </c>
      <c r="N112" s="6">
        <v>0.0</v>
      </c>
      <c r="O112" s="6">
        <v>0.0</v>
      </c>
      <c r="P112" s="6">
        <v>0.0</v>
      </c>
      <c r="Q112" s="6">
        <v>309.743212452108</v>
      </c>
    </row>
    <row r="113">
      <c r="A113" s="6">
        <v>111.0</v>
      </c>
      <c r="B113" s="7">
        <v>45824.0</v>
      </c>
      <c r="C113" s="6">
        <v>309.126604627037</v>
      </c>
      <c r="D113" s="6">
        <v>277.63799411627</v>
      </c>
      <c r="E113" s="6">
        <v>345.719620252917</v>
      </c>
      <c r="F113" s="6">
        <v>309.126604627037</v>
      </c>
      <c r="G113" s="6">
        <v>309.126604627037</v>
      </c>
      <c r="H113" s="6">
        <v>3.05054208160221</v>
      </c>
      <c r="I113" s="6">
        <v>3.05054208160221</v>
      </c>
      <c r="J113" s="6">
        <v>3.05054208160221</v>
      </c>
      <c r="K113" s="6">
        <v>3.05054208160221</v>
      </c>
      <c r="L113" s="6">
        <v>3.05054208160221</v>
      </c>
      <c r="M113" s="6">
        <v>3.05054208160221</v>
      </c>
      <c r="N113" s="6">
        <v>0.0</v>
      </c>
      <c r="O113" s="6">
        <v>0.0</v>
      </c>
      <c r="P113" s="6">
        <v>0.0</v>
      </c>
      <c r="Q113" s="6">
        <v>312.177146708639</v>
      </c>
    </row>
    <row r="114">
      <c r="A114" s="6">
        <v>112.0</v>
      </c>
      <c r="B114" s="7">
        <v>45825.0</v>
      </c>
      <c r="C114" s="6">
        <v>309.777596811024</v>
      </c>
      <c r="D114" s="6">
        <v>277.216078181112</v>
      </c>
      <c r="E114" s="6">
        <v>345.947966391052</v>
      </c>
      <c r="F114" s="6">
        <v>309.777596811024</v>
      </c>
      <c r="G114" s="6">
        <v>309.777596811024</v>
      </c>
      <c r="H114" s="6">
        <v>2.3375104796119</v>
      </c>
      <c r="I114" s="6">
        <v>2.3375104796119</v>
      </c>
      <c r="J114" s="6">
        <v>2.3375104796119</v>
      </c>
      <c r="K114" s="6">
        <v>2.3375104796119</v>
      </c>
      <c r="L114" s="6">
        <v>2.3375104796119</v>
      </c>
      <c r="M114" s="6">
        <v>2.3375104796119</v>
      </c>
      <c r="N114" s="6">
        <v>0.0</v>
      </c>
      <c r="O114" s="6">
        <v>0.0</v>
      </c>
      <c r="P114" s="6">
        <v>0.0</v>
      </c>
      <c r="Q114" s="6">
        <v>312.115107290636</v>
      </c>
    </row>
    <row r="115">
      <c r="A115" s="6">
        <v>113.0</v>
      </c>
      <c r="B115" s="7">
        <v>45826.0</v>
      </c>
      <c r="C115" s="6">
        <v>310.428588995011</v>
      </c>
      <c r="D115" s="6">
        <v>280.119703360514</v>
      </c>
      <c r="E115" s="6">
        <v>352.651941377978</v>
      </c>
      <c r="F115" s="6">
        <v>310.428588995011</v>
      </c>
      <c r="G115" s="6">
        <v>310.428588995011</v>
      </c>
      <c r="H115" s="6">
        <v>5.01607185170034</v>
      </c>
      <c r="I115" s="6">
        <v>5.01607185170034</v>
      </c>
      <c r="J115" s="6">
        <v>5.01607185170034</v>
      </c>
      <c r="K115" s="6">
        <v>5.01607185170034</v>
      </c>
      <c r="L115" s="6">
        <v>5.01607185170034</v>
      </c>
      <c r="M115" s="6">
        <v>5.01607185170034</v>
      </c>
      <c r="N115" s="6">
        <v>0.0</v>
      </c>
      <c r="O115" s="6">
        <v>0.0</v>
      </c>
      <c r="P115" s="6">
        <v>0.0</v>
      </c>
      <c r="Q115" s="6">
        <v>315.444660846712</v>
      </c>
    </row>
    <row r="116">
      <c r="A116" s="6">
        <v>114.0</v>
      </c>
      <c r="B116" s="7">
        <v>45828.0</v>
      </c>
      <c r="C116" s="6">
        <v>311.730573362986</v>
      </c>
      <c r="D116" s="6">
        <v>279.54989394356</v>
      </c>
      <c r="E116" s="6">
        <v>350.829196636897</v>
      </c>
      <c r="F116" s="6">
        <v>311.730573362986</v>
      </c>
      <c r="G116" s="6">
        <v>311.730573362986</v>
      </c>
      <c r="H116" s="6">
        <v>2.56958435843782</v>
      </c>
      <c r="I116" s="6">
        <v>2.56958435843782</v>
      </c>
      <c r="J116" s="6">
        <v>2.56958435843782</v>
      </c>
      <c r="K116" s="6">
        <v>2.56958435843782</v>
      </c>
      <c r="L116" s="6">
        <v>2.56958435843782</v>
      </c>
      <c r="M116" s="6">
        <v>2.56958435843782</v>
      </c>
      <c r="N116" s="6">
        <v>0.0</v>
      </c>
      <c r="O116" s="6">
        <v>0.0</v>
      </c>
      <c r="P116" s="6">
        <v>0.0</v>
      </c>
      <c r="Q116" s="6">
        <v>314.300157721424</v>
      </c>
    </row>
    <row r="117">
      <c r="A117" s="6">
        <v>115.0</v>
      </c>
      <c r="B117" s="7">
        <v>45831.0</v>
      </c>
      <c r="C117" s="6">
        <v>313.683549914947</v>
      </c>
      <c r="D117" s="6">
        <v>279.977533237898</v>
      </c>
      <c r="E117" s="6">
        <v>351.177122441398</v>
      </c>
      <c r="F117" s="6">
        <v>313.683549914947</v>
      </c>
      <c r="G117" s="6">
        <v>313.683549914947</v>
      </c>
      <c r="H117" s="6">
        <v>3.05054208159703</v>
      </c>
      <c r="I117" s="6">
        <v>3.05054208159703</v>
      </c>
      <c r="J117" s="6">
        <v>3.05054208159703</v>
      </c>
      <c r="K117" s="6">
        <v>3.05054208159703</v>
      </c>
      <c r="L117" s="6">
        <v>3.05054208159703</v>
      </c>
      <c r="M117" s="6">
        <v>3.05054208159703</v>
      </c>
      <c r="N117" s="6">
        <v>0.0</v>
      </c>
      <c r="O117" s="6">
        <v>0.0</v>
      </c>
      <c r="P117" s="6">
        <v>0.0</v>
      </c>
      <c r="Q117" s="6">
        <v>316.734091996544</v>
      </c>
    </row>
    <row r="118">
      <c r="A118" s="6">
        <v>116.0</v>
      </c>
      <c r="B118" s="7">
        <v>45832.0</v>
      </c>
      <c r="C118" s="6">
        <v>314.334542098934</v>
      </c>
      <c r="D118" s="6">
        <v>280.481464253184</v>
      </c>
      <c r="E118" s="6">
        <v>351.32130628575</v>
      </c>
      <c r="F118" s="6">
        <v>314.334542098934</v>
      </c>
      <c r="G118" s="6">
        <v>314.334542098934</v>
      </c>
      <c r="H118" s="6">
        <v>2.33751047960927</v>
      </c>
      <c r="I118" s="6">
        <v>2.33751047960927</v>
      </c>
      <c r="J118" s="6">
        <v>2.33751047960927</v>
      </c>
      <c r="K118" s="6">
        <v>2.33751047960927</v>
      </c>
      <c r="L118" s="6">
        <v>2.33751047960927</v>
      </c>
      <c r="M118" s="6">
        <v>2.33751047960927</v>
      </c>
      <c r="N118" s="6">
        <v>0.0</v>
      </c>
      <c r="O118" s="6">
        <v>0.0</v>
      </c>
      <c r="P118" s="6">
        <v>0.0</v>
      </c>
      <c r="Q118" s="6">
        <v>316.672052578543</v>
      </c>
    </row>
    <row r="119">
      <c r="A119" s="6">
        <v>117.0</v>
      </c>
      <c r="B119" s="7">
        <v>45833.0</v>
      </c>
      <c r="C119" s="6">
        <v>314.985534282921</v>
      </c>
      <c r="D119" s="6">
        <v>283.499203753353</v>
      </c>
      <c r="E119" s="6">
        <v>353.801952636649</v>
      </c>
      <c r="F119" s="6">
        <v>314.985534282921</v>
      </c>
      <c r="G119" s="6">
        <v>314.985534282921</v>
      </c>
      <c r="H119" s="6">
        <v>5.01607185169996</v>
      </c>
      <c r="I119" s="6">
        <v>5.01607185169996</v>
      </c>
      <c r="J119" s="6">
        <v>5.01607185169996</v>
      </c>
      <c r="K119" s="6">
        <v>5.01607185169996</v>
      </c>
      <c r="L119" s="6">
        <v>5.01607185169996</v>
      </c>
      <c r="M119" s="6">
        <v>5.01607185169996</v>
      </c>
      <c r="N119" s="6">
        <v>0.0</v>
      </c>
      <c r="O119" s="6">
        <v>0.0</v>
      </c>
      <c r="P119" s="6">
        <v>0.0</v>
      </c>
      <c r="Q119" s="6">
        <v>320.001606134621</v>
      </c>
    </row>
    <row r="120">
      <c r="A120" s="6">
        <v>118.0</v>
      </c>
      <c r="B120" s="7">
        <v>45834.0</v>
      </c>
      <c r="C120" s="6">
        <v>315.636526466908</v>
      </c>
      <c r="D120" s="6">
        <v>283.099513333374</v>
      </c>
      <c r="E120" s="6">
        <v>352.954598429076</v>
      </c>
      <c r="F120" s="6">
        <v>315.636526466908</v>
      </c>
      <c r="G120" s="6">
        <v>315.636526466908</v>
      </c>
      <c r="H120" s="6">
        <v>1.35058742613815</v>
      </c>
      <c r="I120" s="6">
        <v>1.35058742613815</v>
      </c>
      <c r="J120" s="6">
        <v>1.35058742613815</v>
      </c>
      <c r="K120" s="6">
        <v>1.35058742613815</v>
      </c>
      <c r="L120" s="6">
        <v>1.35058742613815</v>
      </c>
      <c r="M120" s="6">
        <v>1.35058742613815</v>
      </c>
      <c r="N120" s="6">
        <v>0.0</v>
      </c>
      <c r="O120" s="6">
        <v>0.0</v>
      </c>
      <c r="P120" s="6">
        <v>0.0</v>
      </c>
      <c r="Q120" s="6">
        <v>316.987113893046</v>
      </c>
    </row>
    <row r="121">
      <c r="A121" s="6">
        <v>119.0</v>
      </c>
      <c r="B121" s="7">
        <v>45835.0</v>
      </c>
      <c r="C121" s="6">
        <v>316.287518650895</v>
      </c>
      <c r="D121" s="6">
        <v>284.886807500994</v>
      </c>
      <c r="E121" s="6">
        <v>352.688272249722</v>
      </c>
      <c r="F121" s="6">
        <v>316.287518650895</v>
      </c>
      <c r="G121" s="6">
        <v>316.287518650895</v>
      </c>
      <c r="H121" s="6">
        <v>2.56958435841639</v>
      </c>
      <c r="I121" s="6">
        <v>2.56958435841639</v>
      </c>
      <c r="J121" s="6">
        <v>2.56958435841639</v>
      </c>
      <c r="K121" s="6">
        <v>2.56958435841639</v>
      </c>
      <c r="L121" s="6">
        <v>2.56958435841639</v>
      </c>
      <c r="M121" s="6">
        <v>2.56958435841639</v>
      </c>
      <c r="N121" s="6">
        <v>0.0</v>
      </c>
      <c r="O121" s="6">
        <v>0.0</v>
      </c>
      <c r="P121" s="6">
        <v>0.0</v>
      </c>
      <c r="Q121" s="6">
        <v>318.857103009312</v>
      </c>
    </row>
    <row r="122">
      <c r="A122" s="6">
        <v>120.0</v>
      </c>
      <c r="B122" s="7">
        <v>45838.0</v>
      </c>
      <c r="C122" s="6">
        <v>318.240495194155</v>
      </c>
      <c r="D122" s="6">
        <v>284.152289944003</v>
      </c>
      <c r="E122" s="6">
        <v>355.324257057607</v>
      </c>
      <c r="F122" s="6">
        <v>318.240495194155</v>
      </c>
      <c r="G122" s="6">
        <v>318.240495194155</v>
      </c>
      <c r="H122" s="6">
        <v>3.05054208160556</v>
      </c>
      <c r="I122" s="6">
        <v>3.05054208160556</v>
      </c>
      <c r="J122" s="6">
        <v>3.05054208160556</v>
      </c>
      <c r="K122" s="6">
        <v>3.05054208160556</v>
      </c>
      <c r="L122" s="6">
        <v>3.05054208160556</v>
      </c>
      <c r="M122" s="6">
        <v>3.05054208160556</v>
      </c>
      <c r="N122" s="6">
        <v>0.0</v>
      </c>
      <c r="O122" s="6">
        <v>0.0</v>
      </c>
      <c r="P122" s="6">
        <v>0.0</v>
      </c>
      <c r="Q122" s="6">
        <v>321.29103727576</v>
      </c>
    </row>
    <row r="123">
      <c r="A123" s="6">
        <v>121.0</v>
      </c>
      <c r="B123" s="7">
        <v>45839.0</v>
      </c>
      <c r="C123" s="6">
        <v>318.891487375241</v>
      </c>
      <c r="D123" s="6">
        <v>283.291226690695</v>
      </c>
      <c r="E123" s="6">
        <v>352.397055492935</v>
      </c>
      <c r="F123" s="6">
        <v>318.891487375241</v>
      </c>
      <c r="G123" s="6">
        <v>318.891487375241</v>
      </c>
      <c r="H123" s="6">
        <v>2.3375104796192</v>
      </c>
      <c r="I123" s="6">
        <v>2.3375104796192</v>
      </c>
      <c r="J123" s="6">
        <v>2.3375104796192</v>
      </c>
      <c r="K123" s="6">
        <v>2.3375104796192</v>
      </c>
      <c r="L123" s="6">
        <v>2.3375104796192</v>
      </c>
      <c r="M123" s="6">
        <v>2.3375104796192</v>
      </c>
      <c r="N123" s="6">
        <v>0.0</v>
      </c>
      <c r="O123" s="6">
        <v>0.0</v>
      </c>
      <c r="P123" s="6">
        <v>0.0</v>
      </c>
      <c r="Q123" s="6">
        <v>321.22899785486</v>
      </c>
    </row>
    <row r="124">
      <c r="A124" s="6">
        <v>122.0</v>
      </c>
      <c r="B124" s="7">
        <v>45840.0</v>
      </c>
      <c r="C124" s="6">
        <v>319.542479556328</v>
      </c>
      <c r="D124" s="6">
        <v>289.472939407585</v>
      </c>
      <c r="E124" s="6">
        <v>360.079872083006</v>
      </c>
      <c r="F124" s="6">
        <v>319.542479556328</v>
      </c>
      <c r="G124" s="6">
        <v>319.542479556328</v>
      </c>
      <c r="H124" s="6">
        <v>5.01607185169936</v>
      </c>
      <c r="I124" s="6">
        <v>5.01607185169936</v>
      </c>
      <c r="J124" s="6">
        <v>5.01607185169936</v>
      </c>
      <c r="K124" s="6">
        <v>5.01607185169936</v>
      </c>
      <c r="L124" s="6">
        <v>5.01607185169936</v>
      </c>
      <c r="M124" s="6">
        <v>5.01607185169936</v>
      </c>
      <c r="N124" s="6">
        <v>0.0</v>
      </c>
      <c r="O124" s="6">
        <v>0.0</v>
      </c>
      <c r="P124" s="6">
        <v>0.0</v>
      </c>
      <c r="Q124" s="6">
        <v>324.558551408027</v>
      </c>
    </row>
    <row r="125">
      <c r="A125" s="6">
        <v>123.0</v>
      </c>
      <c r="B125" s="7">
        <v>45841.0</v>
      </c>
      <c r="C125" s="6">
        <v>320.193471737414</v>
      </c>
      <c r="D125" s="6">
        <v>287.451255057026</v>
      </c>
      <c r="E125" s="6">
        <v>355.716407957822</v>
      </c>
      <c r="F125" s="6">
        <v>320.193471737414</v>
      </c>
      <c r="G125" s="6">
        <v>320.193471737414</v>
      </c>
      <c r="H125" s="6">
        <v>1.35058742614804</v>
      </c>
      <c r="I125" s="6">
        <v>1.35058742614804</v>
      </c>
      <c r="J125" s="6">
        <v>1.35058742614804</v>
      </c>
      <c r="K125" s="6">
        <v>1.35058742614804</v>
      </c>
      <c r="L125" s="6">
        <v>1.35058742614804</v>
      </c>
      <c r="M125" s="6">
        <v>1.35058742614804</v>
      </c>
      <c r="N125" s="6">
        <v>0.0</v>
      </c>
      <c r="O125" s="6">
        <v>0.0</v>
      </c>
      <c r="P125" s="6">
        <v>0.0</v>
      </c>
      <c r="Q125" s="6">
        <v>321.544059163562</v>
      </c>
    </row>
    <row r="126">
      <c r="A126" s="6">
        <v>124.0</v>
      </c>
      <c r="B126" s="7">
        <v>45845.0</v>
      </c>
      <c r="C126" s="6">
        <v>322.79744046176</v>
      </c>
      <c r="D126" s="6">
        <v>288.560681604154</v>
      </c>
      <c r="E126" s="6">
        <v>358.48886702255</v>
      </c>
      <c r="F126" s="6">
        <v>322.79744046176</v>
      </c>
      <c r="G126" s="6">
        <v>322.79744046176</v>
      </c>
      <c r="H126" s="6">
        <v>3.05054208161408</v>
      </c>
      <c r="I126" s="6">
        <v>3.05054208161408</v>
      </c>
      <c r="J126" s="6">
        <v>3.05054208161408</v>
      </c>
      <c r="K126" s="6">
        <v>3.05054208161408</v>
      </c>
      <c r="L126" s="6">
        <v>3.05054208161408</v>
      </c>
      <c r="M126" s="6">
        <v>3.05054208161408</v>
      </c>
      <c r="N126" s="6">
        <v>0.0</v>
      </c>
      <c r="O126" s="6">
        <v>0.0</v>
      </c>
      <c r="P126" s="6">
        <v>0.0</v>
      </c>
      <c r="Q126" s="6">
        <v>325.847982543374</v>
      </c>
    </row>
    <row r="127">
      <c r="A127" s="6">
        <v>125.0</v>
      </c>
      <c r="B127" s="7">
        <v>45846.0</v>
      </c>
      <c r="C127" s="6">
        <v>323.448432642846</v>
      </c>
      <c r="D127" s="6">
        <v>289.194842027665</v>
      </c>
      <c r="E127" s="6">
        <v>360.055610155156</v>
      </c>
      <c r="F127" s="6">
        <v>323.448432642846</v>
      </c>
      <c r="G127" s="6">
        <v>323.448432642846</v>
      </c>
      <c r="H127" s="6">
        <v>2.3375104796089</v>
      </c>
      <c r="I127" s="6">
        <v>2.3375104796089</v>
      </c>
      <c r="J127" s="6">
        <v>2.3375104796089</v>
      </c>
      <c r="K127" s="6">
        <v>2.3375104796089</v>
      </c>
      <c r="L127" s="6">
        <v>2.3375104796089</v>
      </c>
      <c r="M127" s="6">
        <v>2.3375104796089</v>
      </c>
      <c r="N127" s="6">
        <v>0.0</v>
      </c>
      <c r="O127" s="6">
        <v>0.0</v>
      </c>
      <c r="P127" s="6">
        <v>0.0</v>
      </c>
      <c r="Q127" s="6">
        <v>325.785943122455</v>
      </c>
    </row>
    <row r="128">
      <c r="A128" s="6">
        <v>126.0</v>
      </c>
      <c r="B128" s="7">
        <v>45847.0</v>
      </c>
      <c r="C128" s="6">
        <v>324.099424823933</v>
      </c>
      <c r="D128" s="6">
        <v>295.376198702584</v>
      </c>
      <c r="E128" s="6">
        <v>363.387950431171</v>
      </c>
      <c r="F128" s="6">
        <v>324.099424823933</v>
      </c>
      <c r="G128" s="6">
        <v>324.099424823933</v>
      </c>
      <c r="H128" s="6">
        <v>5.01607185169875</v>
      </c>
      <c r="I128" s="6">
        <v>5.01607185169875</v>
      </c>
      <c r="J128" s="6">
        <v>5.01607185169875</v>
      </c>
      <c r="K128" s="6">
        <v>5.01607185169875</v>
      </c>
      <c r="L128" s="6">
        <v>5.01607185169875</v>
      </c>
      <c r="M128" s="6">
        <v>5.01607185169875</v>
      </c>
      <c r="N128" s="6">
        <v>0.0</v>
      </c>
      <c r="O128" s="6">
        <v>0.0</v>
      </c>
      <c r="P128" s="6">
        <v>0.0</v>
      </c>
      <c r="Q128" s="6">
        <v>329.115496675632</v>
      </c>
    </row>
    <row r="129">
      <c r="A129" s="6">
        <v>127.0</v>
      </c>
      <c r="B129" s="7">
        <v>45848.0</v>
      </c>
      <c r="C129" s="6">
        <v>324.75041700502</v>
      </c>
      <c r="D129" s="6">
        <v>289.761820351781</v>
      </c>
      <c r="E129" s="6">
        <v>359.702932884567</v>
      </c>
      <c r="F129" s="6">
        <v>324.75041700502</v>
      </c>
      <c r="G129" s="6">
        <v>324.75041700502</v>
      </c>
      <c r="H129" s="6">
        <v>1.350587426143</v>
      </c>
      <c r="I129" s="6">
        <v>1.350587426143</v>
      </c>
      <c r="J129" s="6">
        <v>1.350587426143</v>
      </c>
      <c r="K129" s="6">
        <v>1.350587426143</v>
      </c>
      <c r="L129" s="6">
        <v>1.350587426143</v>
      </c>
      <c r="M129" s="6">
        <v>1.350587426143</v>
      </c>
      <c r="N129" s="6">
        <v>0.0</v>
      </c>
      <c r="O129" s="6">
        <v>0.0</v>
      </c>
      <c r="P129" s="6">
        <v>0.0</v>
      </c>
      <c r="Q129" s="6">
        <v>326.101004431163</v>
      </c>
    </row>
    <row r="130">
      <c r="A130" s="6">
        <v>128.0</v>
      </c>
      <c r="B130" s="7">
        <v>45849.0</v>
      </c>
      <c r="C130" s="6">
        <v>325.401409750822</v>
      </c>
      <c r="D130" s="6">
        <v>291.666315217896</v>
      </c>
      <c r="E130" s="6">
        <v>364.549923236676</v>
      </c>
      <c r="F130" s="6">
        <v>325.401409750822</v>
      </c>
      <c r="G130" s="6">
        <v>325.401409750822</v>
      </c>
      <c r="H130" s="6">
        <v>2.5695843584142</v>
      </c>
      <c r="I130" s="6">
        <v>2.5695843584142</v>
      </c>
      <c r="J130" s="6">
        <v>2.5695843584142</v>
      </c>
      <c r="K130" s="6">
        <v>2.5695843584142</v>
      </c>
      <c r="L130" s="6">
        <v>2.5695843584142</v>
      </c>
      <c r="M130" s="6">
        <v>2.5695843584142</v>
      </c>
      <c r="N130" s="6">
        <v>0.0</v>
      </c>
      <c r="O130" s="6">
        <v>0.0</v>
      </c>
      <c r="P130" s="6">
        <v>0.0</v>
      </c>
      <c r="Q130" s="6">
        <v>327.970994109236</v>
      </c>
    </row>
    <row r="131">
      <c r="A131" s="6">
        <v>129.0</v>
      </c>
      <c r="B131" s="7">
        <v>45852.0</v>
      </c>
      <c r="C131" s="6">
        <v>327.35438798823</v>
      </c>
      <c r="D131" s="6">
        <v>296.541606704718</v>
      </c>
      <c r="E131" s="6">
        <v>365.533400790424</v>
      </c>
      <c r="F131" s="6">
        <v>327.35438798823</v>
      </c>
      <c r="G131" s="6">
        <v>327.35438798823</v>
      </c>
      <c r="H131" s="6">
        <v>3.0505420816226</v>
      </c>
      <c r="I131" s="6">
        <v>3.0505420816226</v>
      </c>
      <c r="J131" s="6">
        <v>3.0505420816226</v>
      </c>
      <c r="K131" s="6">
        <v>3.0505420816226</v>
      </c>
      <c r="L131" s="6">
        <v>3.0505420816226</v>
      </c>
      <c r="M131" s="6">
        <v>3.0505420816226</v>
      </c>
      <c r="N131" s="6">
        <v>0.0</v>
      </c>
      <c r="O131" s="6">
        <v>0.0</v>
      </c>
      <c r="P131" s="6">
        <v>0.0</v>
      </c>
      <c r="Q131" s="6">
        <v>330.404930069853</v>
      </c>
    </row>
    <row r="132">
      <c r="A132" s="6">
        <v>130.0</v>
      </c>
      <c r="B132" s="7">
        <v>45853.0</v>
      </c>
      <c r="C132" s="6">
        <v>328.005380734033</v>
      </c>
      <c r="D132" s="6">
        <v>293.648407564398</v>
      </c>
      <c r="E132" s="6">
        <v>363.842671820197</v>
      </c>
      <c r="F132" s="6">
        <v>328.005380734033</v>
      </c>
      <c r="G132" s="6">
        <v>328.005380734033</v>
      </c>
      <c r="H132" s="6">
        <v>2.33751047961393</v>
      </c>
      <c r="I132" s="6">
        <v>2.33751047961393</v>
      </c>
      <c r="J132" s="6">
        <v>2.33751047961393</v>
      </c>
      <c r="K132" s="6">
        <v>2.33751047961393</v>
      </c>
      <c r="L132" s="6">
        <v>2.33751047961393</v>
      </c>
      <c r="M132" s="6">
        <v>2.33751047961393</v>
      </c>
      <c r="N132" s="6">
        <v>0.0</v>
      </c>
      <c r="O132" s="6">
        <v>0.0</v>
      </c>
      <c r="P132" s="6">
        <v>0.0</v>
      </c>
      <c r="Q132" s="6">
        <v>330.342891213646</v>
      </c>
    </row>
    <row r="133">
      <c r="A133" s="6">
        <v>131.0</v>
      </c>
      <c r="B133" s="7">
        <v>45854.0</v>
      </c>
      <c r="C133" s="6">
        <v>328.656373479835</v>
      </c>
      <c r="D133" s="6">
        <v>298.994037993968</v>
      </c>
      <c r="E133" s="6">
        <v>369.063974305015</v>
      </c>
      <c r="F133" s="6">
        <v>328.656373479835</v>
      </c>
      <c r="G133" s="6">
        <v>328.656373479835</v>
      </c>
      <c r="H133" s="6">
        <v>5.01607185169826</v>
      </c>
      <c r="I133" s="6">
        <v>5.01607185169826</v>
      </c>
      <c r="J133" s="6">
        <v>5.01607185169826</v>
      </c>
      <c r="K133" s="6">
        <v>5.01607185169826</v>
      </c>
      <c r="L133" s="6">
        <v>5.01607185169826</v>
      </c>
      <c r="M133" s="6">
        <v>5.01607185169826</v>
      </c>
      <c r="N133" s="6">
        <v>0.0</v>
      </c>
      <c r="O133" s="6">
        <v>0.0</v>
      </c>
      <c r="P133" s="6">
        <v>0.0</v>
      </c>
      <c r="Q133" s="6">
        <v>333.672445331533</v>
      </c>
    </row>
    <row r="134">
      <c r="A134" s="6">
        <v>132.0</v>
      </c>
      <c r="B134" s="7">
        <v>45855.0</v>
      </c>
      <c r="C134" s="6">
        <v>329.307366225638</v>
      </c>
      <c r="D134" s="6">
        <v>294.112805598956</v>
      </c>
      <c r="E134" s="6">
        <v>369.629577763799</v>
      </c>
      <c r="F134" s="6">
        <v>329.307366225638</v>
      </c>
      <c r="G134" s="6">
        <v>329.307366225638</v>
      </c>
      <c r="H134" s="6">
        <v>1.35058742614143</v>
      </c>
      <c r="I134" s="6">
        <v>1.35058742614143</v>
      </c>
      <c r="J134" s="6">
        <v>1.35058742614143</v>
      </c>
      <c r="K134" s="6">
        <v>1.35058742614143</v>
      </c>
      <c r="L134" s="6">
        <v>1.35058742614143</v>
      </c>
      <c r="M134" s="6">
        <v>1.35058742614143</v>
      </c>
      <c r="N134" s="6">
        <v>0.0</v>
      </c>
      <c r="O134" s="6">
        <v>0.0</v>
      </c>
      <c r="P134" s="6">
        <v>0.0</v>
      </c>
      <c r="Q134" s="6">
        <v>330.657953651779</v>
      </c>
    </row>
    <row r="135">
      <c r="A135" s="6">
        <v>133.0</v>
      </c>
      <c r="B135" s="7">
        <v>45856.0</v>
      </c>
      <c r="C135" s="6">
        <v>329.95835897144</v>
      </c>
      <c r="D135" s="6">
        <v>294.945860337174</v>
      </c>
      <c r="E135" s="6">
        <v>366.096930852025</v>
      </c>
      <c r="F135" s="6">
        <v>329.95835897144</v>
      </c>
      <c r="G135" s="6">
        <v>329.95835897144</v>
      </c>
      <c r="H135" s="6">
        <v>2.56958435840633</v>
      </c>
      <c r="I135" s="6">
        <v>2.56958435840633</v>
      </c>
      <c r="J135" s="6">
        <v>2.56958435840633</v>
      </c>
      <c r="K135" s="6">
        <v>2.56958435840633</v>
      </c>
      <c r="L135" s="6">
        <v>2.56958435840633</v>
      </c>
      <c r="M135" s="6">
        <v>2.56958435840633</v>
      </c>
      <c r="N135" s="6">
        <v>0.0</v>
      </c>
      <c r="O135" s="6">
        <v>0.0</v>
      </c>
      <c r="P135" s="6">
        <v>0.0</v>
      </c>
      <c r="Q135" s="6">
        <v>332.527943329847</v>
      </c>
    </row>
    <row r="136">
      <c r="A136" s="6">
        <v>134.0</v>
      </c>
      <c r="B136" s="7">
        <v>45859.0</v>
      </c>
      <c r="C136" s="6">
        <v>331.911337208848</v>
      </c>
      <c r="D136" s="6">
        <v>302.929445420728</v>
      </c>
      <c r="E136" s="6">
        <v>369.814239320423</v>
      </c>
      <c r="F136" s="6">
        <v>331.911337208848</v>
      </c>
      <c r="G136" s="6">
        <v>331.911337208848</v>
      </c>
      <c r="H136" s="6">
        <v>3.05054208161742</v>
      </c>
      <c r="I136" s="6">
        <v>3.05054208161742</v>
      </c>
      <c r="J136" s="6">
        <v>3.05054208161742</v>
      </c>
      <c r="K136" s="6">
        <v>3.05054208161742</v>
      </c>
      <c r="L136" s="6">
        <v>3.05054208161742</v>
      </c>
      <c r="M136" s="6">
        <v>3.05054208161742</v>
      </c>
      <c r="N136" s="6">
        <v>0.0</v>
      </c>
      <c r="O136" s="6">
        <v>0.0</v>
      </c>
      <c r="P136" s="6">
        <v>0.0</v>
      </c>
      <c r="Q136" s="6">
        <v>334.961879290465</v>
      </c>
    </row>
    <row r="137">
      <c r="A137" s="6">
        <v>135.0</v>
      </c>
      <c r="B137" s="7">
        <v>45860.0</v>
      </c>
      <c r="C137" s="6">
        <v>332.562329954651</v>
      </c>
      <c r="D137" s="6">
        <v>299.574336011715</v>
      </c>
      <c r="E137" s="6">
        <v>367.564007408444</v>
      </c>
      <c r="F137" s="6">
        <v>332.562329954651</v>
      </c>
      <c r="G137" s="6">
        <v>332.562329954651</v>
      </c>
      <c r="H137" s="6">
        <v>2.3375104796113</v>
      </c>
      <c r="I137" s="6">
        <v>2.3375104796113</v>
      </c>
      <c r="J137" s="6">
        <v>2.3375104796113</v>
      </c>
      <c r="K137" s="6">
        <v>2.3375104796113</v>
      </c>
      <c r="L137" s="6">
        <v>2.3375104796113</v>
      </c>
      <c r="M137" s="6">
        <v>2.3375104796113</v>
      </c>
      <c r="N137" s="6">
        <v>0.0</v>
      </c>
      <c r="O137" s="6">
        <v>0.0</v>
      </c>
      <c r="P137" s="6">
        <v>0.0</v>
      </c>
      <c r="Q137" s="6">
        <v>334.899840434262</v>
      </c>
    </row>
    <row r="138">
      <c r="A138" s="6">
        <v>136.0</v>
      </c>
      <c r="B138" s="7">
        <v>45861.0</v>
      </c>
      <c r="C138" s="6">
        <v>333.245259339946</v>
      </c>
      <c r="D138" s="6">
        <v>304.769742727181</v>
      </c>
      <c r="E138" s="6">
        <v>375.224721358084</v>
      </c>
      <c r="F138" s="6">
        <v>333.245259339946</v>
      </c>
      <c r="G138" s="6">
        <v>333.245259339946</v>
      </c>
      <c r="H138" s="6">
        <v>5.01607185170051</v>
      </c>
      <c r="I138" s="6">
        <v>5.01607185170051</v>
      </c>
      <c r="J138" s="6">
        <v>5.01607185170051</v>
      </c>
      <c r="K138" s="6">
        <v>5.01607185170051</v>
      </c>
      <c r="L138" s="6">
        <v>5.01607185170051</v>
      </c>
      <c r="M138" s="6">
        <v>5.01607185170051</v>
      </c>
      <c r="N138" s="6">
        <v>0.0</v>
      </c>
      <c r="O138" s="6">
        <v>0.0</v>
      </c>
      <c r="P138" s="6">
        <v>0.0</v>
      </c>
      <c r="Q138" s="6">
        <v>338.261331191646</v>
      </c>
    </row>
    <row r="139">
      <c r="A139" s="6">
        <v>137.0</v>
      </c>
      <c r="B139" s="7">
        <v>45862.0</v>
      </c>
      <c r="C139" s="6">
        <v>333.928188725241</v>
      </c>
      <c r="D139" s="6">
        <v>300.008312009031</v>
      </c>
      <c r="E139" s="6">
        <v>370.320979634446</v>
      </c>
      <c r="F139" s="6">
        <v>333.928188725241</v>
      </c>
      <c r="G139" s="6">
        <v>333.928188725241</v>
      </c>
      <c r="H139" s="6">
        <v>1.35058742613639</v>
      </c>
      <c r="I139" s="6">
        <v>1.35058742613639</v>
      </c>
      <c r="J139" s="6">
        <v>1.35058742613639</v>
      </c>
      <c r="K139" s="6">
        <v>1.35058742613639</v>
      </c>
      <c r="L139" s="6">
        <v>1.35058742613639</v>
      </c>
      <c r="M139" s="6">
        <v>1.35058742613639</v>
      </c>
      <c r="N139" s="6">
        <v>0.0</v>
      </c>
      <c r="O139" s="6">
        <v>0.0</v>
      </c>
      <c r="P139" s="6">
        <v>0.0</v>
      </c>
      <c r="Q139" s="6">
        <v>335.278776151377</v>
      </c>
    </row>
    <row r="140">
      <c r="A140" s="6">
        <v>138.0</v>
      </c>
      <c r="B140" s="7">
        <v>45863.0</v>
      </c>
      <c r="C140" s="6">
        <v>334.611118110536</v>
      </c>
      <c r="D140" s="6">
        <v>300.862402467782</v>
      </c>
      <c r="E140" s="6">
        <v>373.290178730081</v>
      </c>
      <c r="F140" s="6">
        <v>334.611118110536</v>
      </c>
      <c r="G140" s="6">
        <v>334.611118110536</v>
      </c>
      <c r="H140" s="6">
        <v>2.56958435839845</v>
      </c>
      <c r="I140" s="6">
        <v>2.56958435839845</v>
      </c>
      <c r="J140" s="6">
        <v>2.56958435839845</v>
      </c>
      <c r="K140" s="6">
        <v>2.56958435839845</v>
      </c>
      <c r="L140" s="6">
        <v>2.56958435839845</v>
      </c>
      <c r="M140" s="6">
        <v>2.56958435839845</v>
      </c>
      <c r="N140" s="6">
        <v>0.0</v>
      </c>
      <c r="O140" s="6">
        <v>0.0</v>
      </c>
      <c r="P140" s="6">
        <v>0.0</v>
      </c>
      <c r="Q140" s="6">
        <v>337.180702468934</v>
      </c>
    </row>
    <row r="141">
      <c r="A141" s="6">
        <v>139.0</v>
      </c>
      <c r="B141" s="7">
        <v>45866.0</v>
      </c>
      <c r="C141" s="6">
        <v>336.659906266421</v>
      </c>
      <c r="D141" s="6">
        <v>306.425285691272</v>
      </c>
      <c r="E141" s="6">
        <v>377.775060858034</v>
      </c>
      <c r="F141" s="6">
        <v>336.659906266421</v>
      </c>
      <c r="G141" s="6">
        <v>336.659906266421</v>
      </c>
      <c r="H141" s="6">
        <v>3.05054208159619</v>
      </c>
      <c r="I141" s="6">
        <v>3.05054208159619</v>
      </c>
      <c r="J141" s="6">
        <v>3.05054208159619</v>
      </c>
      <c r="K141" s="6">
        <v>3.05054208159619</v>
      </c>
      <c r="L141" s="6">
        <v>3.05054208159619</v>
      </c>
      <c r="M141" s="6">
        <v>3.05054208159619</v>
      </c>
      <c r="N141" s="6">
        <v>0.0</v>
      </c>
      <c r="O141" s="6">
        <v>0.0</v>
      </c>
      <c r="P141" s="6">
        <v>0.0</v>
      </c>
      <c r="Q141" s="6">
        <v>339.710448348017</v>
      </c>
    </row>
    <row r="142">
      <c r="A142" s="6">
        <v>140.0</v>
      </c>
      <c r="B142" s="7">
        <v>45867.0</v>
      </c>
      <c r="C142" s="6">
        <v>337.342835651716</v>
      </c>
      <c r="D142" s="6">
        <v>304.691254523416</v>
      </c>
      <c r="E142" s="6">
        <v>377.023395890281</v>
      </c>
      <c r="F142" s="6">
        <v>337.342835651716</v>
      </c>
      <c r="G142" s="6">
        <v>337.342835651716</v>
      </c>
      <c r="H142" s="6">
        <v>2.33751047960866</v>
      </c>
      <c r="I142" s="6">
        <v>2.33751047960866</v>
      </c>
      <c r="J142" s="6">
        <v>2.33751047960866</v>
      </c>
      <c r="K142" s="6">
        <v>2.33751047960866</v>
      </c>
      <c r="L142" s="6">
        <v>2.33751047960866</v>
      </c>
      <c r="M142" s="6">
        <v>2.33751047960866</v>
      </c>
      <c r="N142" s="6">
        <v>0.0</v>
      </c>
      <c r="O142" s="6">
        <v>0.0</v>
      </c>
      <c r="P142" s="6">
        <v>0.0</v>
      </c>
      <c r="Q142" s="6">
        <v>339.680346131324</v>
      </c>
    </row>
    <row r="143">
      <c r="A143" s="6">
        <v>141.0</v>
      </c>
      <c r="B143" s="7">
        <v>45868.0</v>
      </c>
      <c r="C143" s="6">
        <v>338.02576503701</v>
      </c>
      <c r="D143" s="6">
        <v>310.00406295327</v>
      </c>
      <c r="E143" s="6">
        <v>379.094191620323</v>
      </c>
      <c r="F143" s="6">
        <v>338.02576503701</v>
      </c>
      <c r="G143" s="6">
        <v>338.02576503701</v>
      </c>
      <c r="H143" s="6">
        <v>5.01607185170024</v>
      </c>
      <c r="I143" s="6">
        <v>5.01607185170024</v>
      </c>
      <c r="J143" s="6">
        <v>5.01607185170024</v>
      </c>
      <c r="K143" s="6">
        <v>5.01607185170024</v>
      </c>
      <c r="L143" s="6">
        <v>5.01607185170024</v>
      </c>
      <c r="M143" s="6">
        <v>5.01607185170024</v>
      </c>
      <c r="N143" s="6">
        <v>0.0</v>
      </c>
      <c r="O143" s="6">
        <v>0.0</v>
      </c>
      <c r="P143" s="6">
        <v>0.0</v>
      </c>
      <c r="Q143" s="6">
        <v>343.041836888711</v>
      </c>
    </row>
    <row r="144">
      <c r="A144" s="6">
        <v>142.0</v>
      </c>
      <c r="B144" s="7">
        <v>45869.0</v>
      </c>
      <c r="C144" s="6">
        <v>338.708694422305</v>
      </c>
      <c r="D144" s="6">
        <v>307.633446882367</v>
      </c>
      <c r="E144" s="6">
        <v>376.525546806712</v>
      </c>
      <c r="F144" s="6">
        <v>338.708694422305</v>
      </c>
      <c r="G144" s="6">
        <v>338.708694422305</v>
      </c>
      <c r="H144" s="6">
        <v>1.35058742614628</v>
      </c>
      <c r="I144" s="6">
        <v>1.35058742614628</v>
      </c>
      <c r="J144" s="6">
        <v>1.35058742614628</v>
      </c>
      <c r="K144" s="6">
        <v>1.35058742614628</v>
      </c>
      <c r="L144" s="6">
        <v>1.35058742614628</v>
      </c>
      <c r="M144" s="6">
        <v>1.35058742614628</v>
      </c>
      <c r="N144" s="6">
        <v>0.0</v>
      </c>
      <c r="O144" s="6">
        <v>0.0</v>
      </c>
      <c r="P144" s="6">
        <v>0.0</v>
      </c>
      <c r="Q144" s="6">
        <v>340.059281848452</v>
      </c>
    </row>
    <row r="145">
      <c r="A145" s="6">
        <v>143.0</v>
      </c>
      <c r="B145" s="7">
        <v>45870.0</v>
      </c>
      <c r="C145" s="6">
        <v>339.391623807601</v>
      </c>
      <c r="D145" s="6">
        <v>306.215244170355</v>
      </c>
      <c r="E145" s="6">
        <v>376.741876836094</v>
      </c>
      <c r="F145" s="6">
        <v>339.391623807601</v>
      </c>
      <c r="G145" s="6">
        <v>339.391623807601</v>
      </c>
      <c r="H145" s="6">
        <v>2.56958435840414</v>
      </c>
      <c r="I145" s="6">
        <v>2.56958435840414</v>
      </c>
      <c r="J145" s="6">
        <v>2.56958435840414</v>
      </c>
      <c r="K145" s="6">
        <v>2.56958435840414</v>
      </c>
      <c r="L145" s="6">
        <v>2.56958435840414</v>
      </c>
      <c r="M145" s="6">
        <v>2.56958435840414</v>
      </c>
      <c r="N145" s="6">
        <v>0.0</v>
      </c>
      <c r="O145" s="6">
        <v>0.0</v>
      </c>
      <c r="P145" s="6">
        <v>0.0</v>
      </c>
      <c r="Q145" s="6">
        <v>341.961208166005</v>
      </c>
    </row>
    <row r="146">
      <c r="A146" s="6">
        <v>144.0</v>
      </c>
      <c r="B146" s="7">
        <v>45873.0</v>
      </c>
      <c r="C146" s="6">
        <v>341.945585900997</v>
      </c>
      <c r="D146" s="6">
        <v>313.610293882069</v>
      </c>
      <c r="E146" s="6">
        <v>377.744643702302</v>
      </c>
      <c r="F146" s="6">
        <v>341.945585900997</v>
      </c>
      <c r="G146" s="6">
        <v>341.945585900997</v>
      </c>
      <c r="H146" s="6">
        <v>3.05054208159101</v>
      </c>
      <c r="I146" s="6">
        <v>3.05054208159101</v>
      </c>
      <c r="J146" s="6">
        <v>3.05054208159101</v>
      </c>
      <c r="K146" s="6">
        <v>3.05054208159101</v>
      </c>
      <c r="L146" s="6">
        <v>3.05054208159101</v>
      </c>
      <c r="M146" s="6">
        <v>3.05054208159101</v>
      </c>
      <c r="N146" s="6">
        <v>0.0</v>
      </c>
      <c r="O146" s="6">
        <v>0.0</v>
      </c>
      <c r="P146" s="6">
        <v>0.0</v>
      </c>
      <c r="Q146" s="6">
        <v>344.996127982588</v>
      </c>
    </row>
    <row r="147">
      <c r="A147" s="6">
        <v>145.0</v>
      </c>
      <c r="B147" s="7">
        <v>45874.0</v>
      </c>
      <c r="C147" s="6">
        <v>342.796906598795</v>
      </c>
      <c r="D147" s="6">
        <v>311.982688595562</v>
      </c>
      <c r="E147" s="6">
        <v>380.977198116854</v>
      </c>
      <c r="F147" s="6">
        <v>342.796906598795</v>
      </c>
      <c r="G147" s="6">
        <v>342.796906598795</v>
      </c>
      <c r="H147" s="6">
        <v>2.33751047960603</v>
      </c>
      <c r="I147" s="6">
        <v>2.33751047960603</v>
      </c>
      <c r="J147" s="6">
        <v>2.33751047960603</v>
      </c>
      <c r="K147" s="6">
        <v>2.33751047960603</v>
      </c>
      <c r="L147" s="6">
        <v>2.33751047960603</v>
      </c>
      <c r="M147" s="6">
        <v>2.33751047960603</v>
      </c>
      <c r="N147" s="6">
        <v>0.0</v>
      </c>
      <c r="O147" s="6">
        <v>0.0</v>
      </c>
      <c r="P147" s="6">
        <v>0.0</v>
      </c>
      <c r="Q147" s="6">
        <v>345.134417078401</v>
      </c>
    </row>
    <row r="148">
      <c r="A148" s="6">
        <v>146.0</v>
      </c>
      <c r="B148" s="7">
        <v>45875.0</v>
      </c>
      <c r="C148" s="6">
        <v>343.648227296594</v>
      </c>
      <c r="D148" s="6">
        <v>314.954827345064</v>
      </c>
      <c r="E148" s="6">
        <v>382.893837772144</v>
      </c>
      <c r="F148" s="6">
        <v>343.648227296594</v>
      </c>
      <c r="G148" s="6">
        <v>343.648227296594</v>
      </c>
      <c r="H148" s="6">
        <v>5.01607185169963</v>
      </c>
      <c r="I148" s="6">
        <v>5.01607185169963</v>
      </c>
      <c r="J148" s="6">
        <v>5.01607185169963</v>
      </c>
      <c r="K148" s="6">
        <v>5.01607185169963</v>
      </c>
      <c r="L148" s="6">
        <v>5.01607185169963</v>
      </c>
      <c r="M148" s="6">
        <v>5.01607185169963</v>
      </c>
      <c r="N148" s="6">
        <v>0.0</v>
      </c>
      <c r="O148" s="6">
        <v>0.0</v>
      </c>
      <c r="P148" s="6">
        <v>0.0</v>
      </c>
      <c r="Q148" s="6">
        <v>348.664299148293</v>
      </c>
    </row>
    <row r="149">
      <c r="A149" s="6">
        <v>147.0</v>
      </c>
      <c r="B149" s="7">
        <v>45876.0</v>
      </c>
      <c r="C149" s="6">
        <v>344.499547994393</v>
      </c>
      <c r="D149" s="6">
        <v>310.287995901817</v>
      </c>
      <c r="E149" s="6">
        <v>380.4489551433</v>
      </c>
      <c r="F149" s="6">
        <v>344.499547994393</v>
      </c>
      <c r="G149" s="6">
        <v>344.499547994393</v>
      </c>
      <c r="H149" s="6">
        <v>1.35058742614124</v>
      </c>
      <c r="I149" s="6">
        <v>1.35058742614124</v>
      </c>
      <c r="J149" s="6">
        <v>1.35058742614124</v>
      </c>
      <c r="K149" s="6">
        <v>1.35058742614124</v>
      </c>
      <c r="L149" s="6">
        <v>1.35058742614124</v>
      </c>
      <c r="M149" s="6">
        <v>1.35058742614124</v>
      </c>
      <c r="N149" s="6">
        <v>0.0</v>
      </c>
      <c r="O149" s="6">
        <v>0.0</v>
      </c>
      <c r="P149" s="6">
        <v>0.0</v>
      </c>
      <c r="Q149" s="6">
        <v>345.850135420534</v>
      </c>
    </row>
    <row r="150">
      <c r="A150" s="6">
        <v>148.0</v>
      </c>
      <c r="B150" s="7">
        <v>45877.0</v>
      </c>
      <c r="C150" s="6">
        <v>345.350868692191</v>
      </c>
      <c r="D150" s="6">
        <v>311.055910805997</v>
      </c>
      <c r="E150" s="6">
        <v>382.804760542697</v>
      </c>
      <c r="F150" s="6">
        <v>345.350868692191</v>
      </c>
      <c r="G150" s="6">
        <v>345.350868692191</v>
      </c>
      <c r="H150" s="6">
        <v>2.56958435842263</v>
      </c>
      <c r="I150" s="6">
        <v>2.56958435842263</v>
      </c>
      <c r="J150" s="6">
        <v>2.56958435842263</v>
      </c>
      <c r="K150" s="6">
        <v>2.56958435842263</v>
      </c>
      <c r="L150" s="6">
        <v>2.56958435842263</v>
      </c>
      <c r="M150" s="6">
        <v>2.56958435842263</v>
      </c>
      <c r="N150" s="6">
        <v>0.0</v>
      </c>
      <c r="O150" s="6">
        <v>0.0</v>
      </c>
      <c r="P150" s="6">
        <v>0.0</v>
      </c>
      <c r="Q150" s="6">
        <v>347.920453050614</v>
      </c>
    </row>
    <row r="151">
      <c r="A151" s="6">
        <v>149.0</v>
      </c>
      <c r="B151" s="7">
        <v>45880.0</v>
      </c>
      <c r="C151" s="6">
        <v>347.904830785587</v>
      </c>
      <c r="D151" s="6">
        <v>317.632598826488</v>
      </c>
      <c r="E151" s="6">
        <v>385.015619627098</v>
      </c>
      <c r="F151" s="6">
        <v>347.904830785587</v>
      </c>
      <c r="G151" s="6">
        <v>347.904830785587</v>
      </c>
      <c r="H151" s="6">
        <v>3.05054208161323</v>
      </c>
      <c r="I151" s="6">
        <v>3.05054208161323</v>
      </c>
      <c r="J151" s="6">
        <v>3.05054208161323</v>
      </c>
      <c r="K151" s="6">
        <v>3.05054208161323</v>
      </c>
      <c r="L151" s="6">
        <v>3.05054208161323</v>
      </c>
      <c r="M151" s="6">
        <v>3.05054208161323</v>
      </c>
      <c r="N151" s="6">
        <v>0.0</v>
      </c>
      <c r="O151" s="6">
        <v>0.0</v>
      </c>
      <c r="P151" s="6">
        <v>0.0</v>
      </c>
      <c r="Q151" s="6">
        <v>350.9553728672</v>
      </c>
    </row>
    <row r="152">
      <c r="A152" s="6">
        <v>150.0</v>
      </c>
      <c r="B152" s="7">
        <v>45881.0</v>
      </c>
      <c r="C152" s="6">
        <v>348.756151483386</v>
      </c>
      <c r="D152" s="6">
        <v>318.701482724959</v>
      </c>
      <c r="E152" s="6">
        <v>385.191807501959</v>
      </c>
      <c r="F152" s="6">
        <v>348.756151483386</v>
      </c>
      <c r="G152" s="6">
        <v>348.756151483386</v>
      </c>
      <c r="H152" s="6">
        <v>2.33751047961106</v>
      </c>
      <c r="I152" s="6">
        <v>2.33751047961106</v>
      </c>
      <c r="J152" s="6">
        <v>2.33751047961106</v>
      </c>
      <c r="K152" s="6">
        <v>2.33751047961106</v>
      </c>
      <c r="L152" s="6">
        <v>2.33751047961106</v>
      </c>
      <c r="M152" s="6">
        <v>2.33751047961106</v>
      </c>
      <c r="N152" s="6">
        <v>0.0</v>
      </c>
      <c r="O152" s="6">
        <v>0.0</v>
      </c>
      <c r="P152" s="6">
        <v>0.0</v>
      </c>
      <c r="Q152" s="6">
        <v>351.093661962997</v>
      </c>
    </row>
    <row r="153">
      <c r="A153" s="6">
        <v>151.0</v>
      </c>
      <c r="B153" s="7">
        <v>45882.0</v>
      </c>
      <c r="C153" s="6">
        <v>349.607472181184</v>
      </c>
      <c r="D153" s="6">
        <v>318.740922674304</v>
      </c>
      <c r="E153" s="6">
        <v>392.039244383039</v>
      </c>
      <c r="F153" s="6">
        <v>349.607472181184</v>
      </c>
      <c r="G153" s="6">
        <v>349.607472181184</v>
      </c>
      <c r="H153" s="6">
        <v>5.016071851702</v>
      </c>
      <c r="I153" s="6">
        <v>5.016071851702</v>
      </c>
      <c r="J153" s="6">
        <v>5.016071851702</v>
      </c>
      <c r="K153" s="6">
        <v>5.016071851702</v>
      </c>
      <c r="L153" s="6">
        <v>5.016071851702</v>
      </c>
      <c r="M153" s="6">
        <v>5.016071851702</v>
      </c>
      <c r="N153" s="6">
        <v>0.0</v>
      </c>
      <c r="O153" s="6">
        <v>0.0</v>
      </c>
      <c r="P153" s="6">
        <v>0.0</v>
      </c>
      <c r="Q153" s="6">
        <v>354.623544032886</v>
      </c>
    </row>
    <row r="154">
      <c r="A154" s="6">
        <v>152.0</v>
      </c>
      <c r="B154" s="7">
        <v>45883.0</v>
      </c>
      <c r="C154" s="6">
        <v>350.61855258655</v>
      </c>
      <c r="D154" s="6">
        <v>316.389867509302</v>
      </c>
      <c r="E154" s="6">
        <v>386.630787236028</v>
      </c>
      <c r="F154" s="6">
        <v>350.61855258655</v>
      </c>
      <c r="G154" s="6">
        <v>350.61855258655</v>
      </c>
      <c r="H154" s="6">
        <v>1.35058742613619</v>
      </c>
      <c r="I154" s="6">
        <v>1.35058742613619</v>
      </c>
      <c r="J154" s="6">
        <v>1.35058742613619</v>
      </c>
      <c r="K154" s="6">
        <v>1.35058742613619</v>
      </c>
      <c r="L154" s="6">
        <v>1.35058742613619</v>
      </c>
      <c r="M154" s="6">
        <v>1.35058742613619</v>
      </c>
      <c r="N154" s="6">
        <v>0.0</v>
      </c>
      <c r="O154" s="6">
        <v>0.0</v>
      </c>
      <c r="P154" s="6">
        <v>0.0</v>
      </c>
      <c r="Q154" s="6">
        <v>351.969140012687</v>
      </c>
    </row>
    <row r="155">
      <c r="A155" s="6">
        <v>153.0</v>
      </c>
      <c r="B155" s="7">
        <v>45884.0</v>
      </c>
      <c r="C155" s="6">
        <v>351.629632991916</v>
      </c>
      <c r="D155" s="6">
        <v>319.763921910448</v>
      </c>
      <c r="E155" s="6">
        <v>389.20359079402</v>
      </c>
      <c r="F155" s="6">
        <v>351.629632991916</v>
      </c>
      <c r="G155" s="6">
        <v>351.629632991916</v>
      </c>
      <c r="H155" s="6">
        <v>2.56958435842832</v>
      </c>
      <c r="I155" s="6">
        <v>2.56958435842832</v>
      </c>
      <c r="J155" s="6">
        <v>2.56958435842832</v>
      </c>
      <c r="K155" s="6">
        <v>2.56958435842832</v>
      </c>
      <c r="L155" s="6">
        <v>2.56958435842832</v>
      </c>
      <c r="M155" s="6">
        <v>2.56958435842832</v>
      </c>
      <c r="N155" s="6">
        <v>0.0</v>
      </c>
      <c r="O155" s="6">
        <v>0.0</v>
      </c>
      <c r="P155" s="6">
        <v>0.0</v>
      </c>
      <c r="Q155" s="6">
        <v>354.199217350344</v>
      </c>
    </row>
    <row r="156">
      <c r="A156" s="6">
        <v>154.0</v>
      </c>
      <c r="B156" s="7">
        <v>45887.0</v>
      </c>
      <c r="C156" s="6">
        <v>354.662874208013</v>
      </c>
      <c r="D156" s="6">
        <v>326.312941789474</v>
      </c>
      <c r="E156" s="6">
        <v>393.6855634548</v>
      </c>
      <c r="F156" s="6">
        <v>354.662874208013</v>
      </c>
      <c r="G156" s="6">
        <v>354.662874208013</v>
      </c>
      <c r="H156" s="6">
        <v>3.05054208160805</v>
      </c>
      <c r="I156" s="6">
        <v>3.05054208160805</v>
      </c>
      <c r="J156" s="6">
        <v>3.05054208160805</v>
      </c>
      <c r="K156" s="6">
        <v>3.05054208160805</v>
      </c>
      <c r="L156" s="6">
        <v>3.05054208160805</v>
      </c>
      <c r="M156" s="6">
        <v>3.05054208160805</v>
      </c>
      <c r="N156" s="6">
        <v>0.0</v>
      </c>
      <c r="O156" s="6">
        <v>0.0</v>
      </c>
      <c r="P156" s="6">
        <v>0.0</v>
      </c>
      <c r="Q156" s="6">
        <v>357.713416289621</v>
      </c>
    </row>
    <row r="157">
      <c r="A157" s="6">
        <v>155.0</v>
      </c>
      <c r="B157" s="7">
        <v>45888.0</v>
      </c>
      <c r="C157" s="6">
        <v>355.673954613379</v>
      </c>
      <c r="D157" s="6">
        <v>321.772879253345</v>
      </c>
      <c r="E157" s="6">
        <v>391.718229341616</v>
      </c>
      <c r="F157" s="6">
        <v>355.673954613379</v>
      </c>
      <c r="G157" s="6">
        <v>355.673954613379</v>
      </c>
      <c r="H157" s="6">
        <v>2.33751047961332</v>
      </c>
      <c r="I157" s="6">
        <v>2.33751047961332</v>
      </c>
      <c r="J157" s="6">
        <v>2.33751047961332</v>
      </c>
      <c r="K157" s="6">
        <v>2.33751047961332</v>
      </c>
      <c r="L157" s="6">
        <v>2.33751047961332</v>
      </c>
      <c r="M157" s="6">
        <v>2.33751047961332</v>
      </c>
      <c r="N157" s="6">
        <v>0.0</v>
      </c>
      <c r="O157" s="6">
        <v>0.0</v>
      </c>
      <c r="P157" s="6">
        <v>0.0</v>
      </c>
      <c r="Q157" s="6">
        <v>358.011465092993</v>
      </c>
    </row>
    <row r="158">
      <c r="A158" s="6">
        <v>156.0</v>
      </c>
      <c r="B158" s="7">
        <v>45889.0</v>
      </c>
      <c r="C158" s="6">
        <v>356.685035018745</v>
      </c>
      <c r="D158" s="6">
        <v>327.3867971836</v>
      </c>
      <c r="E158" s="6">
        <v>397.125691620301</v>
      </c>
      <c r="F158" s="6">
        <v>356.685035018745</v>
      </c>
      <c r="G158" s="6">
        <v>356.685035018745</v>
      </c>
      <c r="H158" s="6">
        <v>5.01607185170139</v>
      </c>
      <c r="I158" s="6">
        <v>5.01607185170139</v>
      </c>
      <c r="J158" s="6">
        <v>5.01607185170139</v>
      </c>
      <c r="K158" s="6">
        <v>5.01607185170139</v>
      </c>
      <c r="L158" s="6">
        <v>5.01607185170139</v>
      </c>
      <c r="M158" s="6">
        <v>5.01607185170139</v>
      </c>
      <c r="N158" s="6">
        <v>0.0</v>
      </c>
      <c r="O158" s="6">
        <v>0.0</v>
      </c>
      <c r="P158" s="6">
        <v>0.0</v>
      </c>
      <c r="Q158" s="6">
        <v>361.701106870446</v>
      </c>
    </row>
    <row r="159">
      <c r="A159" s="6">
        <v>157.0</v>
      </c>
      <c r="B159" s="7">
        <v>45890.0</v>
      </c>
      <c r="C159" s="6">
        <v>357.696115424111</v>
      </c>
      <c r="D159" s="6">
        <v>324.367344365962</v>
      </c>
      <c r="E159" s="6">
        <v>396.797712864469</v>
      </c>
      <c r="F159" s="6">
        <v>357.696115424111</v>
      </c>
      <c r="G159" s="6">
        <v>357.696115424111</v>
      </c>
      <c r="H159" s="6">
        <v>1.35058742614608</v>
      </c>
      <c r="I159" s="6">
        <v>1.35058742614608</v>
      </c>
      <c r="J159" s="6">
        <v>1.35058742614608</v>
      </c>
      <c r="K159" s="6">
        <v>1.35058742614608</v>
      </c>
      <c r="L159" s="6">
        <v>1.35058742614608</v>
      </c>
      <c r="M159" s="6">
        <v>1.35058742614608</v>
      </c>
      <c r="N159" s="6">
        <v>0.0</v>
      </c>
      <c r="O159" s="6">
        <v>0.0</v>
      </c>
      <c r="P159" s="6">
        <v>0.0</v>
      </c>
      <c r="Q159" s="6">
        <v>359.046702850257</v>
      </c>
    </row>
    <row r="160">
      <c r="A160" s="6">
        <v>158.0</v>
      </c>
      <c r="B160" s="7">
        <v>45891.0</v>
      </c>
      <c r="C160" s="6">
        <v>358.707195829477</v>
      </c>
      <c r="D160" s="6">
        <v>326.070080694478</v>
      </c>
      <c r="E160" s="6">
        <v>396.675154618182</v>
      </c>
      <c r="F160" s="6">
        <v>358.707195829477</v>
      </c>
      <c r="G160" s="6">
        <v>358.707195829477</v>
      </c>
      <c r="H160" s="6">
        <v>2.56958435840688</v>
      </c>
      <c r="I160" s="6">
        <v>2.56958435840688</v>
      </c>
      <c r="J160" s="6">
        <v>2.56958435840688</v>
      </c>
      <c r="K160" s="6">
        <v>2.56958435840688</v>
      </c>
      <c r="L160" s="6">
        <v>2.56958435840688</v>
      </c>
      <c r="M160" s="6">
        <v>2.56958435840688</v>
      </c>
      <c r="N160" s="6">
        <v>0.0</v>
      </c>
      <c r="O160" s="6">
        <v>0.0</v>
      </c>
      <c r="P160" s="6">
        <v>0.0</v>
      </c>
      <c r="Q160" s="6">
        <v>361.276780187883</v>
      </c>
    </row>
    <row r="161">
      <c r="A161" s="6">
        <v>159.0</v>
      </c>
      <c r="B161" s="7">
        <v>45894.0</v>
      </c>
      <c r="C161" s="6">
        <v>361.740437045574</v>
      </c>
      <c r="D161" s="6">
        <v>328.167305542017</v>
      </c>
      <c r="E161" s="6">
        <v>398.704414351298</v>
      </c>
      <c r="F161" s="6">
        <v>361.740437045574</v>
      </c>
      <c r="G161" s="6">
        <v>361.740437045574</v>
      </c>
      <c r="H161" s="6">
        <v>3.05054208160288</v>
      </c>
      <c r="I161" s="6">
        <v>3.05054208160288</v>
      </c>
      <c r="J161" s="6">
        <v>3.05054208160288</v>
      </c>
      <c r="K161" s="6">
        <v>3.05054208160288</v>
      </c>
      <c r="L161" s="6">
        <v>3.05054208160288</v>
      </c>
      <c r="M161" s="6">
        <v>3.05054208160288</v>
      </c>
      <c r="N161" s="6">
        <v>0.0</v>
      </c>
      <c r="O161" s="6">
        <v>0.0</v>
      </c>
      <c r="P161" s="6">
        <v>0.0</v>
      </c>
      <c r="Q161" s="6">
        <v>364.790979127177</v>
      </c>
    </row>
    <row r="162">
      <c r="A162" s="6">
        <v>160.0</v>
      </c>
      <c r="B162" s="7">
        <v>45895.0</v>
      </c>
      <c r="C162" s="6">
        <v>362.761033692359</v>
      </c>
      <c r="D162" s="6">
        <v>330.710806990602</v>
      </c>
      <c r="E162" s="6">
        <v>402.227842772531</v>
      </c>
      <c r="F162" s="6">
        <v>362.761033692359</v>
      </c>
      <c r="G162" s="6">
        <v>362.761033692359</v>
      </c>
      <c r="H162" s="6">
        <v>2.33751047961069</v>
      </c>
      <c r="I162" s="6">
        <v>2.33751047961069</v>
      </c>
      <c r="J162" s="6">
        <v>2.33751047961069</v>
      </c>
      <c r="K162" s="6">
        <v>2.33751047961069</v>
      </c>
      <c r="L162" s="6">
        <v>2.33751047961069</v>
      </c>
      <c r="M162" s="6">
        <v>2.33751047961069</v>
      </c>
      <c r="N162" s="6">
        <v>0.0</v>
      </c>
      <c r="O162" s="6">
        <v>0.0</v>
      </c>
      <c r="P162" s="6">
        <v>0.0</v>
      </c>
      <c r="Q162" s="6">
        <v>365.09854417197</v>
      </c>
    </row>
    <row r="163">
      <c r="A163" s="6">
        <v>161.0</v>
      </c>
      <c r="B163" s="7">
        <v>45896.0</v>
      </c>
      <c r="C163" s="6">
        <v>363.781630339145</v>
      </c>
      <c r="D163" s="6">
        <v>333.329263047816</v>
      </c>
      <c r="E163" s="6">
        <v>403.479151456655</v>
      </c>
      <c r="F163" s="6">
        <v>363.781630339145</v>
      </c>
      <c r="G163" s="6">
        <v>363.781630339145</v>
      </c>
      <c r="H163" s="6">
        <v>5.0160718517009</v>
      </c>
      <c r="I163" s="6">
        <v>5.0160718517009</v>
      </c>
      <c r="J163" s="6">
        <v>5.0160718517009</v>
      </c>
      <c r="K163" s="6">
        <v>5.0160718517009</v>
      </c>
      <c r="L163" s="6">
        <v>5.0160718517009</v>
      </c>
      <c r="M163" s="6">
        <v>5.0160718517009</v>
      </c>
      <c r="N163" s="6">
        <v>0.0</v>
      </c>
      <c r="O163" s="6">
        <v>0.0</v>
      </c>
      <c r="P163" s="6">
        <v>0.0</v>
      </c>
      <c r="Q163" s="6">
        <v>368.797702190846</v>
      </c>
    </row>
    <row r="164">
      <c r="A164" s="6">
        <v>162.0</v>
      </c>
      <c r="B164" s="7">
        <v>45897.0</v>
      </c>
      <c r="C164" s="6">
        <v>364.80222698593</v>
      </c>
      <c r="D164" s="6">
        <v>331.252525141785</v>
      </c>
      <c r="E164" s="6">
        <v>400.614437135024</v>
      </c>
      <c r="F164" s="6">
        <v>364.80222698593</v>
      </c>
      <c r="G164" s="6">
        <v>364.80222698593</v>
      </c>
      <c r="H164" s="6">
        <v>1.35058742614104</v>
      </c>
      <c r="I164" s="6">
        <v>1.35058742614104</v>
      </c>
      <c r="J164" s="6">
        <v>1.35058742614104</v>
      </c>
      <c r="K164" s="6">
        <v>1.35058742614104</v>
      </c>
      <c r="L164" s="6">
        <v>1.35058742614104</v>
      </c>
      <c r="M164" s="6">
        <v>1.35058742614104</v>
      </c>
      <c r="N164" s="6">
        <v>0.0</v>
      </c>
      <c r="O164" s="6">
        <v>0.0</v>
      </c>
      <c r="P164" s="6">
        <v>0.0</v>
      </c>
      <c r="Q164" s="6">
        <v>366.152814412071</v>
      </c>
    </row>
    <row r="165">
      <c r="A165" s="6">
        <v>163.0</v>
      </c>
      <c r="B165" s="7">
        <v>45898.0</v>
      </c>
      <c r="C165" s="6">
        <v>365.822823632716</v>
      </c>
      <c r="D165" s="6">
        <v>334.480446030178</v>
      </c>
      <c r="E165" s="6">
        <v>403.280420852972</v>
      </c>
      <c r="F165" s="6">
        <v>365.822823632716</v>
      </c>
      <c r="G165" s="6">
        <v>365.822823632716</v>
      </c>
      <c r="H165" s="6">
        <v>2.56958435841257</v>
      </c>
      <c r="I165" s="6">
        <v>2.56958435841257</v>
      </c>
      <c r="J165" s="6">
        <v>2.56958435841257</v>
      </c>
      <c r="K165" s="6">
        <v>2.56958435841257</v>
      </c>
      <c r="L165" s="6">
        <v>2.56958435841257</v>
      </c>
      <c r="M165" s="6">
        <v>2.56958435841257</v>
      </c>
      <c r="N165" s="6">
        <v>0.0</v>
      </c>
      <c r="O165" s="6">
        <v>0.0</v>
      </c>
      <c r="P165" s="6">
        <v>0.0</v>
      </c>
      <c r="Q165" s="6">
        <v>368.392407991129</v>
      </c>
    </row>
    <row r="166">
      <c r="A166" s="6">
        <v>164.0</v>
      </c>
      <c r="B166" s="7">
        <v>45902.0</v>
      </c>
      <c r="C166" s="6">
        <v>369.905210219858</v>
      </c>
      <c r="D166" s="6">
        <v>335.714653742505</v>
      </c>
      <c r="E166" s="6">
        <v>404.998426769009</v>
      </c>
      <c r="F166" s="6">
        <v>369.905210219858</v>
      </c>
      <c r="G166" s="6">
        <v>369.905210219858</v>
      </c>
      <c r="H166" s="6">
        <v>2.3375104796004</v>
      </c>
      <c r="I166" s="6">
        <v>2.3375104796004</v>
      </c>
      <c r="J166" s="6">
        <v>2.3375104796004</v>
      </c>
      <c r="K166" s="6">
        <v>2.3375104796004</v>
      </c>
      <c r="L166" s="6">
        <v>2.3375104796004</v>
      </c>
      <c r="M166" s="6">
        <v>2.3375104796004</v>
      </c>
      <c r="N166" s="6">
        <v>0.0</v>
      </c>
      <c r="O166" s="6">
        <v>0.0</v>
      </c>
      <c r="P166" s="6">
        <v>0.0</v>
      </c>
      <c r="Q166" s="6">
        <v>372.242720699458</v>
      </c>
    </row>
    <row r="167">
      <c r="A167" s="6">
        <v>165.0</v>
      </c>
      <c r="B167" s="7">
        <v>45903.0</v>
      </c>
      <c r="C167" s="6">
        <v>370.925806866644</v>
      </c>
      <c r="D167" s="6">
        <v>339.388818287322</v>
      </c>
      <c r="E167" s="6">
        <v>410.445438124367</v>
      </c>
      <c r="F167" s="6">
        <v>370.925806866644</v>
      </c>
      <c r="G167" s="6">
        <v>370.925806866644</v>
      </c>
      <c r="H167" s="6">
        <v>5.01607185170041</v>
      </c>
      <c r="I167" s="6">
        <v>5.01607185170041</v>
      </c>
      <c r="J167" s="6">
        <v>5.01607185170041</v>
      </c>
      <c r="K167" s="6">
        <v>5.01607185170041</v>
      </c>
      <c r="L167" s="6">
        <v>5.01607185170041</v>
      </c>
      <c r="M167" s="6">
        <v>5.01607185170041</v>
      </c>
      <c r="N167" s="6">
        <v>0.0</v>
      </c>
      <c r="O167" s="6">
        <v>0.0</v>
      </c>
      <c r="P167" s="6">
        <v>0.0</v>
      </c>
      <c r="Q167" s="6">
        <v>375.941878718344</v>
      </c>
    </row>
    <row r="168">
      <c r="A168" s="6">
        <v>166.0</v>
      </c>
      <c r="B168" s="7">
        <v>45904.0</v>
      </c>
      <c r="C168" s="6">
        <v>371.946403513429</v>
      </c>
      <c r="D168" s="6">
        <v>337.695509260217</v>
      </c>
      <c r="E168" s="6">
        <v>410.799129038571</v>
      </c>
      <c r="F168" s="6">
        <v>371.946403513429</v>
      </c>
      <c r="G168" s="6">
        <v>371.946403513429</v>
      </c>
      <c r="H168" s="6">
        <v>1.35058742613948</v>
      </c>
      <c r="I168" s="6">
        <v>1.35058742613948</v>
      </c>
      <c r="J168" s="6">
        <v>1.35058742613948</v>
      </c>
      <c r="K168" s="6">
        <v>1.35058742613948</v>
      </c>
      <c r="L168" s="6">
        <v>1.35058742613948</v>
      </c>
      <c r="M168" s="6">
        <v>1.35058742613948</v>
      </c>
      <c r="N168" s="6">
        <v>0.0</v>
      </c>
      <c r="O168" s="6">
        <v>0.0</v>
      </c>
      <c r="P168" s="6">
        <v>0.0</v>
      </c>
      <c r="Q168" s="6">
        <v>373.296990939569</v>
      </c>
    </row>
    <row r="169">
      <c r="A169" s="6">
        <v>167.0</v>
      </c>
      <c r="B169" s="7">
        <v>45905.0</v>
      </c>
      <c r="C169" s="6">
        <v>372.967000160215</v>
      </c>
      <c r="D169" s="6">
        <v>341.065078141466</v>
      </c>
      <c r="E169" s="6">
        <v>411.791225511871</v>
      </c>
      <c r="F169" s="6">
        <v>372.967000160215</v>
      </c>
      <c r="G169" s="6">
        <v>372.967000160215</v>
      </c>
      <c r="H169" s="6">
        <v>2.56958435841825</v>
      </c>
      <c r="I169" s="6">
        <v>2.56958435841825</v>
      </c>
      <c r="J169" s="6">
        <v>2.56958435841825</v>
      </c>
      <c r="K169" s="6">
        <v>2.56958435841825</v>
      </c>
      <c r="L169" s="6">
        <v>2.56958435841825</v>
      </c>
      <c r="M169" s="6">
        <v>2.56958435841825</v>
      </c>
      <c r="N169" s="6">
        <v>0.0</v>
      </c>
      <c r="O169" s="6">
        <v>0.0</v>
      </c>
      <c r="P169" s="6">
        <v>0.0</v>
      </c>
      <c r="Q169" s="6">
        <v>375.536584518633</v>
      </c>
    </row>
    <row r="170">
      <c r="A170" s="6">
        <v>168.0</v>
      </c>
      <c r="B170" s="7">
        <v>45908.0</v>
      </c>
      <c r="C170" s="6">
        <v>376.028790139667</v>
      </c>
      <c r="D170" s="6">
        <v>344.414541160461</v>
      </c>
      <c r="E170" s="6">
        <v>413.680762704075</v>
      </c>
      <c r="F170" s="6">
        <v>376.028790139667</v>
      </c>
      <c r="G170" s="6">
        <v>376.028790139667</v>
      </c>
      <c r="H170" s="6">
        <v>3.05054208161992</v>
      </c>
      <c r="I170" s="6">
        <v>3.05054208161992</v>
      </c>
      <c r="J170" s="6">
        <v>3.05054208161992</v>
      </c>
      <c r="K170" s="6">
        <v>3.05054208161992</v>
      </c>
      <c r="L170" s="6">
        <v>3.05054208161992</v>
      </c>
      <c r="M170" s="6">
        <v>3.05054208161992</v>
      </c>
      <c r="N170" s="6">
        <v>0.0</v>
      </c>
      <c r="O170" s="6">
        <v>0.0</v>
      </c>
      <c r="P170" s="6">
        <v>0.0</v>
      </c>
      <c r="Q170" s="6">
        <v>379.079332221287</v>
      </c>
    </row>
    <row r="171">
      <c r="A171" s="6">
        <v>169.0</v>
      </c>
      <c r="B171" s="7">
        <v>45909.0</v>
      </c>
      <c r="C171" s="6">
        <v>377.049386799485</v>
      </c>
      <c r="D171" s="6">
        <v>345.92344189545</v>
      </c>
      <c r="E171" s="6">
        <v>415.705407042173</v>
      </c>
      <c r="F171" s="6">
        <v>377.049386799485</v>
      </c>
      <c r="G171" s="6">
        <v>377.049386799485</v>
      </c>
      <c r="H171" s="6">
        <v>2.33751047961032</v>
      </c>
      <c r="I171" s="6">
        <v>2.33751047961032</v>
      </c>
      <c r="J171" s="6">
        <v>2.33751047961032</v>
      </c>
      <c r="K171" s="6">
        <v>2.33751047961032</v>
      </c>
      <c r="L171" s="6">
        <v>2.33751047961032</v>
      </c>
      <c r="M171" s="6">
        <v>2.33751047961032</v>
      </c>
      <c r="N171" s="6">
        <v>0.0</v>
      </c>
      <c r="O171" s="6">
        <v>0.0</v>
      </c>
      <c r="P171" s="6">
        <v>0.0</v>
      </c>
      <c r="Q171" s="6">
        <v>379.386897279095</v>
      </c>
    </row>
    <row r="172">
      <c r="A172" s="6">
        <v>170.0</v>
      </c>
      <c r="B172" s="7">
        <v>45910.0</v>
      </c>
      <c r="C172" s="6">
        <v>378.069983459302</v>
      </c>
      <c r="D172" s="6">
        <v>347.199422419277</v>
      </c>
      <c r="E172" s="6">
        <v>418.793130236993</v>
      </c>
      <c r="F172" s="6">
        <v>378.069983459302</v>
      </c>
      <c r="G172" s="6">
        <v>378.069983459302</v>
      </c>
      <c r="H172" s="6">
        <v>5.01607185169991</v>
      </c>
      <c r="I172" s="6">
        <v>5.01607185169991</v>
      </c>
      <c r="J172" s="6">
        <v>5.01607185169991</v>
      </c>
      <c r="K172" s="6">
        <v>5.01607185169991</v>
      </c>
      <c r="L172" s="6">
        <v>5.01607185169991</v>
      </c>
      <c r="M172" s="6">
        <v>5.01607185169991</v>
      </c>
      <c r="N172" s="6">
        <v>0.0</v>
      </c>
      <c r="O172" s="6">
        <v>0.0</v>
      </c>
      <c r="P172" s="6">
        <v>0.0</v>
      </c>
      <c r="Q172" s="6">
        <v>383.086055311002</v>
      </c>
    </row>
    <row r="173">
      <c r="A173" s="6">
        <v>171.0</v>
      </c>
      <c r="B173" s="7">
        <v>45911.0</v>
      </c>
      <c r="C173" s="6">
        <v>379.09058011912</v>
      </c>
      <c r="D173" s="6">
        <v>343.909629748889</v>
      </c>
      <c r="E173" s="6">
        <v>418.682299626323</v>
      </c>
      <c r="F173" s="6">
        <v>379.09058011912</v>
      </c>
      <c r="G173" s="6">
        <v>379.09058011912</v>
      </c>
      <c r="H173" s="6">
        <v>1.35058742613444</v>
      </c>
      <c r="I173" s="6">
        <v>1.35058742613444</v>
      </c>
      <c r="J173" s="6">
        <v>1.35058742613444</v>
      </c>
      <c r="K173" s="6">
        <v>1.35058742613444</v>
      </c>
      <c r="L173" s="6">
        <v>1.35058742613444</v>
      </c>
      <c r="M173" s="6">
        <v>1.35058742613444</v>
      </c>
      <c r="N173" s="6">
        <v>0.0</v>
      </c>
      <c r="O173" s="6">
        <v>0.0</v>
      </c>
      <c r="P173" s="6">
        <v>0.0</v>
      </c>
      <c r="Q173" s="6">
        <v>380.441167545254</v>
      </c>
    </row>
    <row r="174">
      <c r="A174" s="6">
        <v>172.0</v>
      </c>
      <c r="B174" s="7">
        <v>45912.0</v>
      </c>
      <c r="C174" s="6">
        <v>380.111176778938</v>
      </c>
      <c r="D174" s="6">
        <v>349.103723284029</v>
      </c>
      <c r="E174" s="6">
        <v>417.369776594835</v>
      </c>
      <c r="F174" s="6">
        <v>380.111176778938</v>
      </c>
      <c r="G174" s="6">
        <v>380.111176778938</v>
      </c>
      <c r="H174" s="6">
        <v>2.56958435842318</v>
      </c>
      <c r="I174" s="6">
        <v>2.56958435842318</v>
      </c>
      <c r="J174" s="6">
        <v>2.56958435842318</v>
      </c>
      <c r="K174" s="6">
        <v>2.56958435842318</v>
      </c>
      <c r="L174" s="6">
        <v>2.56958435842318</v>
      </c>
      <c r="M174" s="6">
        <v>2.56958435842318</v>
      </c>
      <c r="N174" s="6">
        <v>0.0</v>
      </c>
      <c r="O174" s="6">
        <v>0.0</v>
      </c>
      <c r="P174" s="6">
        <v>0.0</v>
      </c>
      <c r="Q174" s="6">
        <v>382.680761137361</v>
      </c>
    </row>
    <row r="175">
      <c r="A175" s="6">
        <v>173.0</v>
      </c>
      <c r="B175" s="7">
        <v>45915.0</v>
      </c>
      <c r="C175" s="6">
        <v>383.17296675839</v>
      </c>
      <c r="D175" s="6">
        <v>350.417484805533</v>
      </c>
      <c r="E175" s="6">
        <v>419.63332441329</v>
      </c>
      <c r="F175" s="6">
        <v>383.17296675839</v>
      </c>
      <c r="G175" s="6">
        <v>383.17296675839</v>
      </c>
      <c r="H175" s="6">
        <v>3.05054208159868</v>
      </c>
      <c r="I175" s="6">
        <v>3.05054208159868</v>
      </c>
      <c r="J175" s="6">
        <v>3.05054208159868</v>
      </c>
      <c r="K175" s="6">
        <v>3.05054208159868</v>
      </c>
      <c r="L175" s="6">
        <v>3.05054208159868</v>
      </c>
      <c r="M175" s="6">
        <v>3.05054208159868</v>
      </c>
      <c r="N175" s="6">
        <v>0.0</v>
      </c>
      <c r="O175" s="6">
        <v>0.0</v>
      </c>
      <c r="P175" s="6">
        <v>0.0</v>
      </c>
      <c r="Q175" s="6">
        <v>386.223508839989</v>
      </c>
    </row>
    <row r="176">
      <c r="A176" s="6">
        <v>174.0</v>
      </c>
      <c r="B176" s="7">
        <v>45916.0</v>
      </c>
      <c r="C176" s="6">
        <v>384.193563418208</v>
      </c>
      <c r="D176" s="6">
        <v>349.985549648045</v>
      </c>
      <c r="E176" s="6">
        <v>420.225478189915</v>
      </c>
      <c r="F176" s="6">
        <v>384.193563418208</v>
      </c>
      <c r="G176" s="6">
        <v>384.193563418208</v>
      </c>
      <c r="H176" s="6">
        <v>2.33751047960769</v>
      </c>
      <c r="I176" s="6">
        <v>2.33751047960769</v>
      </c>
      <c r="J176" s="6">
        <v>2.33751047960769</v>
      </c>
      <c r="K176" s="6">
        <v>2.33751047960769</v>
      </c>
      <c r="L176" s="6">
        <v>2.33751047960769</v>
      </c>
      <c r="M176" s="6">
        <v>2.33751047960769</v>
      </c>
      <c r="N176" s="6">
        <v>0.0</v>
      </c>
      <c r="O176" s="6">
        <v>0.0</v>
      </c>
      <c r="P176" s="6">
        <v>0.0</v>
      </c>
      <c r="Q176" s="6">
        <v>386.531073897816</v>
      </c>
    </row>
    <row r="177">
      <c r="A177" s="6">
        <v>175.0</v>
      </c>
      <c r="B177" s="7">
        <v>45917.0</v>
      </c>
      <c r="C177" s="6">
        <v>385.214160078026</v>
      </c>
      <c r="D177" s="6">
        <v>352.662624265677</v>
      </c>
      <c r="E177" s="6">
        <v>426.686130929106</v>
      </c>
      <c r="F177" s="6">
        <v>385.214160078026</v>
      </c>
      <c r="G177" s="6">
        <v>385.214160078026</v>
      </c>
      <c r="H177" s="6">
        <v>5.01607185169931</v>
      </c>
      <c r="I177" s="6">
        <v>5.01607185169931</v>
      </c>
      <c r="J177" s="6">
        <v>5.01607185169931</v>
      </c>
      <c r="K177" s="6">
        <v>5.01607185169931</v>
      </c>
      <c r="L177" s="6">
        <v>5.01607185169931</v>
      </c>
      <c r="M177" s="6">
        <v>5.01607185169931</v>
      </c>
      <c r="N177" s="6">
        <v>0.0</v>
      </c>
      <c r="O177" s="6">
        <v>0.0</v>
      </c>
      <c r="P177" s="6">
        <v>0.0</v>
      </c>
      <c r="Q177" s="6">
        <v>390.230231929725</v>
      </c>
    </row>
    <row r="178">
      <c r="A178" s="6">
        <v>176.0</v>
      </c>
      <c r="B178" s="7">
        <v>45918.0</v>
      </c>
      <c r="C178" s="6">
        <v>386.234756725228</v>
      </c>
      <c r="D178" s="6">
        <v>351.620101965093</v>
      </c>
      <c r="E178" s="6">
        <v>424.096793661239</v>
      </c>
      <c r="F178" s="6">
        <v>386.234756725228</v>
      </c>
      <c r="G178" s="6">
        <v>386.234756725228</v>
      </c>
      <c r="H178" s="6">
        <v>1.35058742613686</v>
      </c>
      <c r="I178" s="6">
        <v>1.35058742613686</v>
      </c>
      <c r="J178" s="6">
        <v>1.35058742613686</v>
      </c>
      <c r="K178" s="6">
        <v>1.35058742613686</v>
      </c>
      <c r="L178" s="6">
        <v>1.35058742613686</v>
      </c>
      <c r="M178" s="6">
        <v>1.35058742613686</v>
      </c>
      <c r="N178" s="6">
        <v>0.0</v>
      </c>
      <c r="O178" s="6">
        <v>0.0</v>
      </c>
      <c r="P178" s="6">
        <v>0.0</v>
      </c>
      <c r="Q178" s="6">
        <v>387.585344151365</v>
      </c>
    </row>
    <row r="179">
      <c r="A179" s="6">
        <v>177.0</v>
      </c>
      <c r="B179" s="7">
        <v>45919.0</v>
      </c>
      <c r="C179" s="6">
        <v>387.255353372431</v>
      </c>
      <c r="D179" s="6">
        <v>353.56059869813</v>
      </c>
      <c r="E179" s="6">
        <v>425.191939911179</v>
      </c>
      <c r="F179" s="6">
        <v>387.255353372431</v>
      </c>
      <c r="G179" s="6">
        <v>387.255353372431</v>
      </c>
      <c r="H179" s="6">
        <v>2.56958435842887</v>
      </c>
      <c r="I179" s="6">
        <v>2.56958435842887</v>
      </c>
      <c r="J179" s="6">
        <v>2.56958435842887</v>
      </c>
      <c r="K179" s="6">
        <v>2.56958435842887</v>
      </c>
      <c r="L179" s="6">
        <v>2.56958435842887</v>
      </c>
      <c r="M179" s="6">
        <v>2.56958435842887</v>
      </c>
      <c r="N179" s="6">
        <v>0.0</v>
      </c>
      <c r="O179" s="6">
        <v>0.0</v>
      </c>
      <c r="P179" s="6">
        <v>0.0</v>
      </c>
      <c r="Q179" s="6">
        <v>389.82493773086</v>
      </c>
    </row>
    <row r="180">
      <c r="A180" s="6">
        <v>178.0</v>
      </c>
      <c r="B180" s="7">
        <v>45922.0</v>
      </c>
      <c r="C180" s="6">
        <v>390.317143314039</v>
      </c>
      <c r="D180" s="6">
        <v>359.994725759212</v>
      </c>
      <c r="E180" s="6">
        <v>429.70753397128</v>
      </c>
      <c r="F180" s="6">
        <v>390.317143314039</v>
      </c>
      <c r="G180" s="6">
        <v>390.317143314039</v>
      </c>
      <c r="H180" s="6">
        <v>3.05054208159351</v>
      </c>
      <c r="I180" s="6">
        <v>3.05054208159351</v>
      </c>
      <c r="J180" s="6">
        <v>3.05054208159351</v>
      </c>
      <c r="K180" s="6">
        <v>3.05054208159351</v>
      </c>
      <c r="L180" s="6">
        <v>3.05054208159351</v>
      </c>
      <c r="M180" s="6">
        <v>3.05054208159351</v>
      </c>
      <c r="N180" s="6">
        <v>0.0</v>
      </c>
      <c r="O180" s="6">
        <v>0.0</v>
      </c>
      <c r="P180" s="6">
        <v>0.0</v>
      </c>
      <c r="Q180" s="6">
        <v>393.367685395632</v>
      </c>
    </row>
    <row r="181">
      <c r="A181" s="6">
        <v>179.0</v>
      </c>
      <c r="B181" s="7">
        <v>45923.0</v>
      </c>
      <c r="C181" s="6">
        <v>391.337739961241</v>
      </c>
      <c r="D181" s="6">
        <v>362.592979766933</v>
      </c>
      <c r="E181" s="6">
        <v>427.553140072584</v>
      </c>
      <c r="F181" s="6">
        <v>391.337739961241</v>
      </c>
      <c r="G181" s="6">
        <v>391.337739961241</v>
      </c>
      <c r="H181" s="6">
        <v>2.33751047961272</v>
      </c>
      <c r="I181" s="6">
        <v>2.33751047961272</v>
      </c>
      <c r="J181" s="6">
        <v>2.33751047961272</v>
      </c>
      <c r="K181" s="6">
        <v>2.33751047961272</v>
      </c>
      <c r="L181" s="6">
        <v>2.33751047961272</v>
      </c>
      <c r="M181" s="6">
        <v>2.33751047961272</v>
      </c>
      <c r="N181" s="6">
        <v>0.0</v>
      </c>
      <c r="O181" s="6">
        <v>0.0</v>
      </c>
      <c r="P181" s="6">
        <v>0.0</v>
      </c>
      <c r="Q181" s="6">
        <v>393.675250440854</v>
      </c>
    </row>
    <row r="182">
      <c r="A182" s="6">
        <v>180.0</v>
      </c>
      <c r="B182" s="7">
        <v>45924.0</v>
      </c>
      <c r="C182" s="6">
        <v>392.358336608444</v>
      </c>
      <c r="D182" s="6">
        <v>363.889133108484</v>
      </c>
      <c r="E182" s="6">
        <v>433.370527909525</v>
      </c>
      <c r="F182" s="6">
        <v>392.358336608444</v>
      </c>
      <c r="G182" s="6">
        <v>392.358336608444</v>
      </c>
      <c r="H182" s="6">
        <v>5.01607185169892</v>
      </c>
      <c r="I182" s="6">
        <v>5.01607185169892</v>
      </c>
      <c r="J182" s="6">
        <v>5.01607185169892</v>
      </c>
      <c r="K182" s="6">
        <v>5.01607185169892</v>
      </c>
      <c r="L182" s="6">
        <v>5.01607185169892</v>
      </c>
      <c r="M182" s="6">
        <v>5.01607185169892</v>
      </c>
      <c r="N182" s="6">
        <v>0.0</v>
      </c>
      <c r="O182" s="6">
        <v>0.0</v>
      </c>
      <c r="P182" s="6">
        <v>0.0</v>
      </c>
      <c r="Q182" s="6">
        <v>397.374408460143</v>
      </c>
    </row>
    <row r="183">
      <c r="A183" s="6">
        <v>181.0</v>
      </c>
      <c r="B183" s="7">
        <v>45925.0</v>
      </c>
      <c r="C183" s="6">
        <v>393.378933255646</v>
      </c>
      <c r="D183" s="6">
        <v>361.721357194929</v>
      </c>
      <c r="E183" s="6">
        <v>428.072116204456</v>
      </c>
      <c r="F183" s="6">
        <v>393.378933255646</v>
      </c>
      <c r="G183" s="6">
        <v>393.378933255646</v>
      </c>
      <c r="H183" s="6">
        <v>1.35058742613928</v>
      </c>
      <c r="I183" s="6">
        <v>1.35058742613928</v>
      </c>
      <c r="J183" s="6">
        <v>1.35058742613928</v>
      </c>
      <c r="K183" s="6">
        <v>1.35058742613928</v>
      </c>
      <c r="L183" s="6">
        <v>1.35058742613928</v>
      </c>
      <c r="M183" s="6">
        <v>1.35058742613928</v>
      </c>
      <c r="N183" s="6">
        <v>0.0</v>
      </c>
      <c r="O183" s="6">
        <v>0.0</v>
      </c>
      <c r="P183" s="6">
        <v>0.0</v>
      </c>
      <c r="Q183" s="6">
        <v>394.729520681786</v>
      </c>
    </row>
    <row r="184">
      <c r="A184" s="6">
        <v>182.0</v>
      </c>
      <c r="B184" s="7">
        <v>45926.0</v>
      </c>
      <c r="C184" s="6">
        <v>394.399529902849</v>
      </c>
      <c r="D184" s="6">
        <v>362.828280069015</v>
      </c>
      <c r="E184" s="6">
        <v>430.370527992005</v>
      </c>
      <c r="F184" s="6">
        <v>394.399529902849</v>
      </c>
      <c r="G184" s="6">
        <v>394.399529902849</v>
      </c>
      <c r="H184" s="6">
        <v>2.56958435840744</v>
      </c>
      <c r="I184" s="6">
        <v>2.56958435840744</v>
      </c>
      <c r="J184" s="6">
        <v>2.56958435840744</v>
      </c>
      <c r="K184" s="6">
        <v>2.56958435840744</v>
      </c>
      <c r="L184" s="6">
        <v>2.56958435840744</v>
      </c>
      <c r="M184" s="6">
        <v>2.56958435840744</v>
      </c>
      <c r="N184" s="6">
        <v>0.0</v>
      </c>
      <c r="O184" s="6">
        <v>0.0</v>
      </c>
      <c r="P184" s="6">
        <v>0.0</v>
      </c>
      <c r="Q184" s="6">
        <v>396.969114261256</v>
      </c>
    </row>
    <row r="185">
      <c r="A185" s="6">
        <v>183.0</v>
      </c>
      <c r="B185" s="7">
        <v>45929.0</v>
      </c>
      <c r="C185" s="6">
        <v>397.461319844457</v>
      </c>
      <c r="D185" s="6">
        <v>365.166655126239</v>
      </c>
      <c r="E185" s="6">
        <v>434.750452656575</v>
      </c>
      <c r="F185" s="6">
        <v>397.461319844457</v>
      </c>
      <c r="G185" s="6">
        <v>397.461319844457</v>
      </c>
      <c r="H185" s="6">
        <v>3.05054208161573</v>
      </c>
      <c r="I185" s="6">
        <v>3.05054208161573</v>
      </c>
      <c r="J185" s="6">
        <v>3.05054208161573</v>
      </c>
      <c r="K185" s="6">
        <v>3.05054208161573</v>
      </c>
      <c r="L185" s="6">
        <v>3.05054208161573</v>
      </c>
      <c r="M185" s="6">
        <v>3.05054208161573</v>
      </c>
      <c r="N185" s="6">
        <v>0.0</v>
      </c>
      <c r="O185" s="6">
        <v>0.0</v>
      </c>
      <c r="P185" s="6">
        <v>0.0</v>
      </c>
      <c r="Q185" s="6">
        <v>400.511861926073</v>
      </c>
    </row>
    <row r="186">
      <c r="A186" s="6">
        <v>184.0</v>
      </c>
      <c r="B186" s="7">
        <v>45930.0</v>
      </c>
      <c r="C186" s="6">
        <v>398.427847889116</v>
      </c>
      <c r="D186" s="6">
        <v>364.792125085024</v>
      </c>
      <c r="E186" s="6">
        <v>436.142760333922</v>
      </c>
      <c r="F186" s="6">
        <v>398.427847889116</v>
      </c>
      <c r="G186" s="6">
        <v>398.427847889116</v>
      </c>
      <c r="H186" s="6">
        <v>2.33751047961774</v>
      </c>
      <c r="I186" s="6">
        <v>2.33751047961774</v>
      </c>
      <c r="J186" s="6">
        <v>2.33751047961774</v>
      </c>
      <c r="K186" s="6">
        <v>2.33751047961774</v>
      </c>
      <c r="L186" s="6">
        <v>2.33751047961774</v>
      </c>
      <c r="M186" s="6">
        <v>2.33751047961774</v>
      </c>
      <c r="N186" s="6">
        <v>0.0</v>
      </c>
      <c r="O186" s="6">
        <v>0.0</v>
      </c>
      <c r="P186" s="6">
        <v>0.0</v>
      </c>
      <c r="Q186" s="6">
        <v>400.765358368734</v>
      </c>
    </row>
    <row r="187">
      <c r="A187" s="6">
        <v>185.0</v>
      </c>
      <c r="B187" s="7">
        <v>45931.0</v>
      </c>
      <c r="C187" s="6">
        <v>399.394375933775</v>
      </c>
      <c r="D187" s="6">
        <v>372.1684017097</v>
      </c>
      <c r="E187" s="6">
        <v>439.471109317701</v>
      </c>
      <c r="F187" s="6">
        <v>399.394375933775</v>
      </c>
      <c r="G187" s="6">
        <v>399.394375933775</v>
      </c>
      <c r="H187" s="6">
        <v>5.01607185170118</v>
      </c>
      <c r="I187" s="6">
        <v>5.01607185170118</v>
      </c>
      <c r="J187" s="6">
        <v>5.01607185170118</v>
      </c>
      <c r="K187" s="6">
        <v>5.01607185170118</v>
      </c>
      <c r="L187" s="6">
        <v>5.01607185170118</v>
      </c>
      <c r="M187" s="6">
        <v>5.01607185170118</v>
      </c>
      <c r="N187" s="6">
        <v>0.0</v>
      </c>
      <c r="O187" s="6">
        <v>0.0</v>
      </c>
      <c r="P187" s="6">
        <v>0.0</v>
      </c>
      <c r="Q187" s="6">
        <v>404.410447785476</v>
      </c>
    </row>
    <row r="188">
      <c r="A188" s="6">
        <v>186.0</v>
      </c>
      <c r="B188" s="7">
        <v>45932.0</v>
      </c>
      <c r="C188" s="6">
        <v>400.360903978434</v>
      </c>
      <c r="D188" s="6">
        <v>366.696465617424</v>
      </c>
      <c r="E188" s="6">
        <v>437.198649149096</v>
      </c>
      <c r="F188" s="6">
        <v>400.360903978434</v>
      </c>
      <c r="G188" s="6">
        <v>400.360903978434</v>
      </c>
      <c r="H188" s="6">
        <v>1.35058742614171</v>
      </c>
      <c r="I188" s="6">
        <v>1.35058742614171</v>
      </c>
      <c r="J188" s="6">
        <v>1.35058742614171</v>
      </c>
      <c r="K188" s="6">
        <v>1.35058742614171</v>
      </c>
      <c r="L188" s="6">
        <v>1.35058742614171</v>
      </c>
      <c r="M188" s="6">
        <v>1.35058742614171</v>
      </c>
      <c r="N188" s="6">
        <v>0.0</v>
      </c>
      <c r="O188" s="6">
        <v>0.0</v>
      </c>
      <c r="P188" s="6">
        <v>0.0</v>
      </c>
      <c r="Q188" s="6">
        <v>401.711491404576</v>
      </c>
    </row>
    <row r="189">
      <c r="A189" s="6">
        <v>187.0</v>
      </c>
      <c r="B189" s="7">
        <v>45933.0</v>
      </c>
      <c r="C189" s="6">
        <v>401.327432023093</v>
      </c>
      <c r="D189" s="6">
        <v>366.819739091564</v>
      </c>
      <c r="E189" s="6">
        <v>437.884399042662</v>
      </c>
      <c r="F189" s="6">
        <v>401.327432023093</v>
      </c>
      <c r="G189" s="6">
        <v>401.327432023093</v>
      </c>
      <c r="H189" s="6">
        <v>2.56958435841312</v>
      </c>
      <c r="I189" s="6">
        <v>2.56958435841312</v>
      </c>
      <c r="J189" s="6">
        <v>2.56958435841312</v>
      </c>
      <c r="K189" s="6">
        <v>2.56958435841312</v>
      </c>
      <c r="L189" s="6">
        <v>2.56958435841312</v>
      </c>
      <c r="M189" s="6">
        <v>2.56958435841312</v>
      </c>
      <c r="N189" s="6">
        <v>0.0</v>
      </c>
      <c r="O189" s="6">
        <v>0.0</v>
      </c>
      <c r="P189" s="6">
        <v>0.0</v>
      </c>
      <c r="Q189" s="6">
        <v>403.897016381506</v>
      </c>
    </row>
    <row r="190">
      <c r="A190" s="6">
        <v>188.0</v>
      </c>
      <c r="B190" s="7">
        <v>45936.0</v>
      </c>
      <c r="C190" s="6">
        <v>404.22701615707</v>
      </c>
      <c r="D190" s="6">
        <v>373.194552451451</v>
      </c>
      <c r="E190" s="6">
        <v>441.236770645756</v>
      </c>
      <c r="F190" s="6">
        <v>404.22701615707</v>
      </c>
      <c r="G190" s="6">
        <v>404.22701615707</v>
      </c>
      <c r="H190" s="6">
        <v>3.05054208159449</v>
      </c>
      <c r="I190" s="6">
        <v>3.05054208159449</v>
      </c>
      <c r="J190" s="6">
        <v>3.05054208159449</v>
      </c>
      <c r="K190" s="6">
        <v>3.05054208159449</v>
      </c>
      <c r="L190" s="6">
        <v>3.05054208159449</v>
      </c>
      <c r="M190" s="6">
        <v>3.05054208159449</v>
      </c>
      <c r="N190" s="6">
        <v>0.0</v>
      </c>
      <c r="O190" s="6">
        <v>0.0</v>
      </c>
      <c r="P190" s="6">
        <v>0.0</v>
      </c>
      <c r="Q190" s="6">
        <v>407.277558238665</v>
      </c>
    </row>
    <row r="191">
      <c r="A191" s="6">
        <v>189.0</v>
      </c>
      <c r="B191" s="7">
        <v>45937.0</v>
      </c>
      <c r="C191" s="6">
        <v>405.193544201729</v>
      </c>
      <c r="D191" s="6">
        <v>372.501463908266</v>
      </c>
      <c r="E191" s="6">
        <v>444.330144183597</v>
      </c>
      <c r="F191" s="6">
        <v>405.193544201729</v>
      </c>
      <c r="G191" s="6">
        <v>405.193544201729</v>
      </c>
      <c r="H191" s="6">
        <v>2.33751047960745</v>
      </c>
      <c r="I191" s="6">
        <v>2.33751047960745</v>
      </c>
      <c r="J191" s="6">
        <v>2.33751047960745</v>
      </c>
      <c r="K191" s="6">
        <v>2.33751047960745</v>
      </c>
      <c r="L191" s="6">
        <v>2.33751047960745</v>
      </c>
      <c r="M191" s="6">
        <v>2.33751047960745</v>
      </c>
      <c r="N191" s="6">
        <v>0.0</v>
      </c>
      <c r="O191" s="6">
        <v>0.0</v>
      </c>
      <c r="P191" s="6">
        <v>0.0</v>
      </c>
      <c r="Q191" s="6">
        <v>407.531054681337</v>
      </c>
    </row>
    <row r="192">
      <c r="A192" s="6">
        <v>190.0</v>
      </c>
      <c r="B192" s="7">
        <v>45938.0</v>
      </c>
      <c r="C192" s="6">
        <v>406.160072246388</v>
      </c>
      <c r="D192" s="6">
        <v>377.533405519104</v>
      </c>
      <c r="E192" s="6">
        <v>448.543644493443</v>
      </c>
      <c r="F192" s="6">
        <v>406.160072246388</v>
      </c>
      <c r="G192" s="6">
        <v>406.160072246388</v>
      </c>
      <c r="H192" s="6">
        <v>5.01607185170069</v>
      </c>
      <c r="I192" s="6">
        <v>5.01607185170069</v>
      </c>
      <c r="J192" s="6">
        <v>5.01607185170069</v>
      </c>
      <c r="K192" s="6">
        <v>5.01607185170069</v>
      </c>
      <c r="L192" s="6">
        <v>5.01607185170069</v>
      </c>
      <c r="M192" s="6">
        <v>5.01607185170069</v>
      </c>
      <c r="N192" s="6">
        <v>0.0</v>
      </c>
      <c r="O192" s="6">
        <v>0.0</v>
      </c>
      <c r="P192" s="6">
        <v>0.0</v>
      </c>
      <c r="Q192" s="6">
        <v>411.176144098089</v>
      </c>
    </row>
    <row r="193">
      <c r="A193" s="6">
        <v>191.0</v>
      </c>
      <c r="B193" s="7">
        <v>45939.0</v>
      </c>
      <c r="C193" s="6">
        <v>407.126600291047</v>
      </c>
      <c r="D193" s="6">
        <v>372.874015476093</v>
      </c>
      <c r="E193" s="6">
        <v>444.333175995207</v>
      </c>
      <c r="F193" s="6">
        <v>407.126600291047</v>
      </c>
      <c r="G193" s="6">
        <v>407.126600291047</v>
      </c>
      <c r="H193" s="6">
        <v>1.35058742614014</v>
      </c>
      <c r="I193" s="6">
        <v>1.35058742614014</v>
      </c>
      <c r="J193" s="6">
        <v>1.35058742614014</v>
      </c>
      <c r="K193" s="6">
        <v>1.35058742614014</v>
      </c>
      <c r="L193" s="6">
        <v>1.35058742614014</v>
      </c>
      <c r="M193" s="6">
        <v>1.35058742614014</v>
      </c>
      <c r="N193" s="6">
        <v>0.0</v>
      </c>
      <c r="O193" s="6">
        <v>0.0</v>
      </c>
      <c r="P193" s="6">
        <v>0.0</v>
      </c>
      <c r="Q193" s="6">
        <v>408.477187717187</v>
      </c>
    </row>
    <row r="194">
      <c r="A194" s="6">
        <v>192.0</v>
      </c>
      <c r="B194" s="7">
        <v>45940.0</v>
      </c>
      <c r="C194" s="6">
        <v>407.951342567767</v>
      </c>
      <c r="D194" s="6">
        <v>375.886456681173</v>
      </c>
      <c r="E194" s="6">
        <v>444.013491591261</v>
      </c>
      <c r="F194" s="6">
        <v>407.951342567767</v>
      </c>
      <c r="G194" s="6">
        <v>407.951342567767</v>
      </c>
      <c r="H194" s="6">
        <v>2.56958435840525</v>
      </c>
      <c r="I194" s="6">
        <v>2.56958435840525</v>
      </c>
      <c r="J194" s="6">
        <v>2.56958435840525</v>
      </c>
      <c r="K194" s="6">
        <v>2.56958435840525</v>
      </c>
      <c r="L194" s="6">
        <v>2.56958435840525</v>
      </c>
      <c r="M194" s="6">
        <v>2.56958435840525</v>
      </c>
      <c r="N194" s="6">
        <v>0.0</v>
      </c>
      <c r="O194" s="6">
        <v>0.0</v>
      </c>
      <c r="P194" s="6">
        <v>0.0</v>
      </c>
      <c r="Q194" s="6">
        <v>410.520926926172</v>
      </c>
    </row>
    <row r="195">
      <c r="A195" s="6">
        <v>193.0</v>
      </c>
      <c r="B195" s="7">
        <v>45943.0</v>
      </c>
      <c r="C195" s="6">
        <v>410.425569397925</v>
      </c>
      <c r="D195" s="6">
        <v>377.200344941573</v>
      </c>
      <c r="E195" s="6">
        <v>448.882593430178</v>
      </c>
      <c r="F195" s="6">
        <v>410.425569397925</v>
      </c>
      <c r="G195" s="6">
        <v>410.425569397925</v>
      </c>
      <c r="H195" s="6">
        <v>3.05054208160301</v>
      </c>
      <c r="I195" s="6">
        <v>3.05054208160301</v>
      </c>
      <c r="J195" s="6">
        <v>3.05054208160301</v>
      </c>
      <c r="K195" s="6">
        <v>3.05054208160301</v>
      </c>
      <c r="L195" s="6">
        <v>3.05054208160301</v>
      </c>
      <c r="M195" s="6">
        <v>3.05054208160301</v>
      </c>
      <c r="N195" s="6">
        <v>0.0</v>
      </c>
      <c r="O195" s="6">
        <v>0.0</v>
      </c>
      <c r="P195" s="6">
        <v>0.0</v>
      </c>
      <c r="Q195" s="6">
        <v>413.476111479528</v>
      </c>
    </row>
    <row r="196">
      <c r="A196" s="6">
        <v>194.0</v>
      </c>
      <c r="B196" s="7">
        <v>45944.0</v>
      </c>
      <c r="C196" s="6">
        <v>411.250311674644</v>
      </c>
      <c r="D196" s="6">
        <v>378.008133136121</v>
      </c>
      <c r="E196" s="6">
        <v>450.18459484871</v>
      </c>
      <c r="F196" s="6">
        <v>411.250311674644</v>
      </c>
      <c r="G196" s="6">
        <v>411.250311674644</v>
      </c>
      <c r="H196" s="6">
        <v>2.33751047961248</v>
      </c>
      <c r="I196" s="6">
        <v>2.33751047961248</v>
      </c>
      <c r="J196" s="6">
        <v>2.33751047961248</v>
      </c>
      <c r="K196" s="6">
        <v>2.33751047961248</v>
      </c>
      <c r="L196" s="6">
        <v>2.33751047961248</v>
      </c>
      <c r="M196" s="6">
        <v>2.33751047961248</v>
      </c>
      <c r="N196" s="6">
        <v>0.0</v>
      </c>
      <c r="O196" s="6">
        <v>0.0</v>
      </c>
      <c r="P196" s="6">
        <v>0.0</v>
      </c>
      <c r="Q196" s="6">
        <v>413.587822154257</v>
      </c>
    </row>
    <row r="197">
      <c r="A197" s="6">
        <v>195.0</v>
      </c>
      <c r="B197" s="7">
        <v>45945.0</v>
      </c>
      <c r="C197" s="6">
        <v>412.075053951364</v>
      </c>
      <c r="D197" s="6">
        <v>382.183961854232</v>
      </c>
      <c r="E197" s="6">
        <v>452.058708982377</v>
      </c>
      <c r="F197" s="6">
        <v>412.075053951364</v>
      </c>
      <c r="G197" s="6">
        <v>412.075053951364</v>
      </c>
      <c r="H197" s="6">
        <v>5.01607185170008</v>
      </c>
      <c r="I197" s="6">
        <v>5.01607185170008</v>
      </c>
      <c r="J197" s="6">
        <v>5.01607185170008</v>
      </c>
      <c r="K197" s="6">
        <v>5.01607185170008</v>
      </c>
      <c r="L197" s="6">
        <v>5.01607185170008</v>
      </c>
      <c r="M197" s="6">
        <v>5.01607185170008</v>
      </c>
      <c r="N197" s="6">
        <v>0.0</v>
      </c>
      <c r="O197" s="6">
        <v>0.0</v>
      </c>
      <c r="P197" s="6">
        <v>0.0</v>
      </c>
      <c r="Q197" s="6">
        <v>417.091125803064</v>
      </c>
    </row>
    <row r="198">
      <c r="A198" s="6">
        <v>196.0</v>
      </c>
      <c r="B198" s="7">
        <v>45946.0</v>
      </c>
      <c r="C198" s="6">
        <v>412.899796228083</v>
      </c>
      <c r="D198" s="6">
        <v>378.212549387042</v>
      </c>
      <c r="E198" s="6">
        <v>449.976269753699</v>
      </c>
      <c r="F198" s="6">
        <v>412.899796228083</v>
      </c>
      <c r="G198" s="6">
        <v>412.899796228083</v>
      </c>
      <c r="H198" s="6">
        <v>1.35058742614256</v>
      </c>
      <c r="I198" s="6">
        <v>1.35058742614256</v>
      </c>
      <c r="J198" s="6">
        <v>1.35058742614256</v>
      </c>
      <c r="K198" s="6">
        <v>1.35058742614256</v>
      </c>
      <c r="L198" s="6">
        <v>1.35058742614256</v>
      </c>
      <c r="M198" s="6">
        <v>1.35058742614256</v>
      </c>
      <c r="N198" s="6">
        <v>0.0</v>
      </c>
      <c r="O198" s="6">
        <v>0.0</v>
      </c>
      <c r="P198" s="6">
        <v>0.0</v>
      </c>
      <c r="Q198" s="6">
        <v>414.250383654226</v>
      </c>
    </row>
    <row r="199">
      <c r="A199" s="6">
        <v>197.0</v>
      </c>
      <c r="B199" s="7">
        <v>45947.0</v>
      </c>
      <c r="C199" s="6">
        <v>413.724538504803</v>
      </c>
      <c r="D199" s="6">
        <v>382.897188716185</v>
      </c>
      <c r="E199" s="6">
        <v>452.368936471185</v>
      </c>
      <c r="F199" s="6">
        <v>413.724538504803</v>
      </c>
      <c r="G199" s="6">
        <v>413.724538504803</v>
      </c>
      <c r="H199" s="6">
        <v>2.56958435842374</v>
      </c>
      <c r="I199" s="6">
        <v>2.56958435842374</v>
      </c>
      <c r="J199" s="6">
        <v>2.56958435842374</v>
      </c>
      <c r="K199" s="6">
        <v>2.56958435842374</v>
      </c>
      <c r="L199" s="6">
        <v>2.56958435842374</v>
      </c>
      <c r="M199" s="6">
        <v>2.56958435842374</v>
      </c>
      <c r="N199" s="6">
        <v>0.0</v>
      </c>
      <c r="O199" s="6">
        <v>0.0</v>
      </c>
      <c r="P199" s="6">
        <v>0.0</v>
      </c>
      <c r="Q199" s="6">
        <v>416.294122863227</v>
      </c>
    </row>
    <row r="200">
      <c r="A200" s="6">
        <v>198.0</v>
      </c>
      <c r="B200" s="7">
        <v>45950.0</v>
      </c>
      <c r="C200" s="6">
        <v>416.198765334961</v>
      </c>
      <c r="D200" s="6">
        <v>383.541857336734</v>
      </c>
      <c r="E200" s="6">
        <v>451.042884672297</v>
      </c>
      <c r="F200" s="6">
        <v>416.198765334961</v>
      </c>
      <c r="G200" s="6">
        <v>416.198765334961</v>
      </c>
      <c r="H200" s="6">
        <v>3.05054208159783</v>
      </c>
      <c r="I200" s="6">
        <v>3.05054208159783</v>
      </c>
      <c r="J200" s="6">
        <v>3.05054208159783</v>
      </c>
      <c r="K200" s="6">
        <v>3.05054208159783</v>
      </c>
      <c r="L200" s="6">
        <v>3.05054208159783</v>
      </c>
      <c r="M200" s="6">
        <v>3.05054208159783</v>
      </c>
      <c r="N200" s="6">
        <v>0.0</v>
      </c>
      <c r="O200" s="6">
        <v>0.0</v>
      </c>
      <c r="P200" s="6">
        <v>0.0</v>
      </c>
      <c r="Q200" s="6">
        <v>419.249307416559</v>
      </c>
    </row>
    <row r="201">
      <c r="A201" s="6">
        <v>199.0</v>
      </c>
      <c r="B201" s="7">
        <v>45951.0</v>
      </c>
      <c r="C201" s="6">
        <v>417.023507611681</v>
      </c>
      <c r="D201" s="6">
        <v>387.79894304799</v>
      </c>
      <c r="E201" s="6">
        <v>453.416608815263</v>
      </c>
      <c r="F201" s="6">
        <v>417.023507611681</v>
      </c>
      <c r="G201" s="6">
        <v>417.023507611681</v>
      </c>
      <c r="H201" s="6">
        <v>2.33751047960984</v>
      </c>
      <c r="I201" s="6">
        <v>2.33751047960984</v>
      </c>
      <c r="J201" s="6">
        <v>2.33751047960984</v>
      </c>
      <c r="K201" s="6">
        <v>2.33751047960984</v>
      </c>
      <c r="L201" s="6">
        <v>2.33751047960984</v>
      </c>
      <c r="M201" s="6">
        <v>2.33751047960984</v>
      </c>
      <c r="N201" s="6">
        <v>0.0</v>
      </c>
      <c r="O201" s="6">
        <v>0.0</v>
      </c>
      <c r="P201" s="6">
        <v>0.0</v>
      </c>
      <c r="Q201" s="6">
        <v>419.361018091291</v>
      </c>
    </row>
    <row r="202">
      <c r="A202" s="6">
        <v>200.0</v>
      </c>
      <c r="B202" s="7">
        <v>45952.0</v>
      </c>
      <c r="C202" s="6">
        <v>417.791377935416</v>
      </c>
      <c r="D202" s="6">
        <v>386.497028726713</v>
      </c>
      <c r="E202" s="6">
        <v>457.382192734128</v>
      </c>
      <c r="F202" s="6">
        <v>417.791377935416</v>
      </c>
      <c r="G202" s="6">
        <v>417.791377935416</v>
      </c>
      <c r="H202" s="6">
        <v>5.01607185169948</v>
      </c>
      <c r="I202" s="6">
        <v>5.01607185169948</v>
      </c>
      <c r="J202" s="6">
        <v>5.01607185169948</v>
      </c>
      <c r="K202" s="6">
        <v>5.01607185169948</v>
      </c>
      <c r="L202" s="6">
        <v>5.01607185169948</v>
      </c>
      <c r="M202" s="6">
        <v>5.01607185169948</v>
      </c>
      <c r="N202" s="6">
        <v>0.0</v>
      </c>
      <c r="O202" s="6">
        <v>0.0</v>
      </c>
      <c r="P202" s="6">
        <v>0.0</v>
      </c>
      <c r="Q202" s="6">
        <v>422.807449787116</v>
      </c>
    </row>
    <row r="203">
      <c r="A203" s="6">
        <v>201.0</v>
      </c>
      <c r="B203" s="7">
        <v>45953.0</v>
      </c>
      <c r="C203" s="6">
        <v>418.559248259152</v>
      </c>
      <c r="D203" s="6">
        <v>383.882638485622</v>
      </c>
      <c r="E203" s="6">
        <v>456.324277795412</v>
      </c>
      <c r="F203" s="6">
        <v>418.559248259152</v>
      </c>
      <c r="G203" s="6">
        <v>418.559248259152</v>
      </c>
      <c r="H203" s="6">
        <v>1.35058742613752</v>
      </c>
      <c r="I203" s="6">
        <v>1.35058742613752</v>
      </c>
      <c r="J203" s="6">
        <v>1.35058742613752</v>
      </c>
      <c r="K203" s="6">
        <v>1.35058742613752</v>
      </c>
      <c r="L203" s="6">
        <v>1.35058742613752</v>
      </c>
      <c r="M203" s="6">
        <v>1.35058742613752</v>
      </c>
      <c r="N203" s="6">
        <v>0.0</v>
      </c>
      <c r="O203" s="6">
        <v>0.0</v>
      </c>
      <c r="P203" s="6">
        <v>0.0</v>
      </c>
      <c r="Q203" s="6">
        <v>419.909835685289</v>
      </c>
    </row>
    <row r="204">
      <c r="A204" s="6">
        <v>202.0</v>
      </c>
      <c r="B204" s="7">
        <v>45954.0</v>
      </c>
      <c r="C204" s="6">
        <v>419.327118582887</v>
      </c>
      <c r="D204" s="6">
        <v>388.263987852141</v>
      </c>
      <c r="E204" s="6">
        <v>456.409210460222</v>
      </c>
      <c r="F204" s="6">
        <v>419.327118582887</v>
      </c>
      <c r="G204" s="6">
        <v>419.327118582887</v>
      </c>
      <c r="H204" s="6">
        <v>2.56958435841587</v>
      </c>
      <c r="I204" s="6">
        <v>2.56958435841587</v>
      </c>
      <c r="J204" s="6">
        <v>2.56958435841587</v>
      </c>
      <c r="K204" s="6">
        <v>2.56958435841587</v>
      </c>
      <c r="L204" s="6">
        <v>2.56958435841587</v>
      </c>
      <c r="M204" s="6">
        <v>2.56958435841587</v>
      </c>
      <c r="N204" s="6">
        <v>0.0</v>
      </c>
      <c r="O204" s="6">
        <v>0.0</v>
      </c>
      <c r="P204" s="6">
        <v>0.0</v>
      </c>
      <c r="Q204" s="6">
        <v>421.896702941303</v>
      </c>
    </row>
    <row r="205">
      <c r="A205" s="6">
        <v>203.0</v>
      </c>
      <c r="B205" s="7">
        <v>45957.0</v>
      </c>
      <c r="C205" s="6">
        <v>421.630729554094</v>
      </c>
      <c r="D205" s="6">
        <v>386.782616390712</v>
      </c>
      <c r="E205" s="6">
        <v>461.022948303265</v>
      </c>
      <c r="F205" s="6">
        <v>421.630729554094</v>
      </c>
      <c r="G205" s="6">
        <v>421.630729554094</v>
      </c>
      <c r="H205" s="6">
        <v>3.05054208160636</v>
      </c>
      <c r="I205" s="6">
        <v>3.05054208160636</v>
      </c>
      <c r="J205" s="6">
        <v>3.05054208160636</v>
      </c>
      <c r="K205" s="6">
        <v>3.05054208160636</v>
      </c>
      <c r="L205" s="6">
        <v>3.05054208160636</v>
      </c>
      <c r="M205" s="6">
        <v>3.05054208160636</v>
      </c>
      <c r="N205" s="6">
        <v>0.0</v>
      </c>
      <c r="O205" s="6">
        <v>0.0</v>
      </c>
      <c r="P205" s="6">
        <v>0.0</v>
      </c>
      <c r="Q205" s="6">
        <v>424.6812716357</v>
      </c>
    </row>
    <row r="206">
      <c r="A206" s="6">
        <v>204.0</v>
      </c>
      <c r="B206" s="7">
        <v>45958.0</v>
      </c>
      <c r="C206" s="6">
        <v>422.398599877829</v>
      </c>
      <c r="D206" s="6">
        <v>389.310705216079</v>
      </c>
      <c r="E206" s="6">
        <v>462.687377981582</v>
      </c>
      <c r="F206" s="6">
        <v>422.398599877829</v>
      </c>
      <c r="G206" s="6">
        <v>422.398599877829</v>
      </c>
      <c r="H206" s="6">
        <v>2.33751047961211</v>
      </c>
      <c r="I206" s="6">
        <v>2.33751047961211</v>
      </c>
      <c r="J206" s="6">
        <v>2.33751047961211</v>
      </c>
      <c r="K206" s="6">
        <v>2.33751047961211</v>
      </c>
      <c r="L206" s="6">
        <v>2.33751047961211</v>
      </c>
      <c r="M206" s="6">
        <v>2.33751047961211</v>
      </c>
      <c r="N206" s="6">
        <v>0.0</v>
      </c>
      <c r="O206" s="6">
        <v>0.0</v>
      </c>
      <c r="P206" s="6">
        <v>0.0</v>
      </c>
      <c r="Q206" s="6">
        <v>424.736110357442</v>
      </c>
    </row>
    <row r="207">
      <c r="A207" s="6">
        <v>205.0</v>
      </c>
      <c r="B207" s="7">
        <v>45959.0</v>
      </c>
      <c r="C207" s="6">
        <v>423.166470201565</v>
      </c>
      <c r="D207" s="6">
        <v>393.786077973523</v>
      </c>
      <c r="E207" s="6">
        <v>462.345650352093</v>
      </c>
      <c r="F207" s="6">
        <v>423.166470201565</v>
      </c>
      <c r="G207" s="6">
        <v>423.166470201565</v>
      </c>
      <c r="H207" s="6">
        <v>5.01607185169909</v>
      </c>
      <c r="I207" s="6">
        <v>5.01607185169909</v>
      </c>
      <c r="J207" s="6">
        <v>5.01607185169909</v>
      </c>
      <c r="K207" s="6">
        <v>5.01607185169909</v>
      </c>
      <c r="L207" s="6">
        <v>5.01607185169909</v>
      </c>
      <c r="M207" s="6">
        <v>5.01607185169909</v>
      </c>
      <c r="N207" s="6">
        <v>0.0</v>
      </c>
      <c r="O207" s="6">
        <v>0.0</v>
      </c>
      <c r="P207" s="6">
        <v>0.0</v>
      </c>
      <c r="Q207" s="6">
        <v>428.182542053264</v>
      </c>
    </row>
    <row r="208">
      <c r="A208" s="6">
        <v>206.0</v>
      </c>
      <c r="B208" s="7">
        <v>45960.0</v>
      </c>
      <c r="C208" s="6">
        <v>423.934340525301</v>
      </c>
      <c r="D208" s="6">
        <v>391.225533678678</v>
      </c>
      <c r="E208" s="6">
        <v>462.342973938117</v>
      </c>
      <c r="F208" s="6">
        <v>423.934340525301</v>
      </c>
      <c r="G208" s="6">
        <v>423.934340525301</v>
      </c>
      <c r="H208" s="6">
        <v>1.35058742614741</v>
      </c>
      <c r="I208" s="6">
        <v>1.35058742614741</v>
      </c>
      <c r="J208" s="6">
        <v>1.35058742614741</v>
      </c>
      <c r="K208" s="6">
        <v>1.35058742614741</v>
      </c>
      <c r="L208" s="6">
        <v>1.35058742614741</v>
      </c>
      <c r="M208" s="6">
        <v>1.35058742614741</v>
      </c>
      <c r="N208" s="6">
        <v>0.0</v>
      </c>
      <c r="O208" s="6">
        <v>0.0</v>
      </c>
      <c r="P208" s="6">
        <v>0.0</v>
      </c>
      <c r="Q208" s="6">
        <v>425.284927951448</v>
      </c>
    </row>
    <row r="209">
      <c r="A209" s="6">
        <v>207.0</v>
      </c>
      <c r="B209" s="7">
        <v>45961.0</v>
      </c>
      <c r="C209" s="6">
        <v>424.702210849036</v>
      </c>
      <c r="D209" s="6">
        <v>393.70191610259</v>
      </c>
      <c r="E209" s="6">
        <v>461.462535644127</v>
      </c>
      <c r="F209" s="6">
        <v>424.702210849036</v>
      </c>
      <c r="G209" s="6">
        <v>424.702210849036</v>
      </c>
      <c r="H209" s="6">
        <v>2.56958435842155</v>
      </c>
      <c r="I209" s="6">
        <v>2.56958435842155</v>
      </c>
      <c r="J209" s="6">
        <v>2.56958435842155</v>
      </c>
      <c r="K209" s="6">
        <v>2.56958435842155</v>
      </c>
      <c r="L209" s="6">
        <v>2.56958435842155</v>
      </c>
      <c r="M209" s="6">
        <v>2.56958435842155</v>
      </c>
      <c r="N209" s="6">
        <v>0.0</v>
      </c>
      <c r="O209" s="6">
        <v>0.0</v>
      </c>
      <c r="P209" s="6">
        <v>0.0</v>
      </c>
      <c r="Q209" s="6">
        <v>427.271795207458</v>
      </c>
    </row>
    <row r="210">
      <c r="A210" s="6">
        <v>208.0</v>
      </c>
      <c r="B210" s="7">
        <v>45964.0</v>
      </c>
      <c r="C210" s="6">
        <v>427.005821820243</v>
      </c>
      <c r="D210" s="6">
        <v>395.194147211175</v>
      </c>
      <c r="E210" s="6">
        <v>463.850848435516</v>
      </c>
      <c r="F210" s="6">
        <v>427.005821820243</v>
      </c>
      <c r="G210" s="6">
        <v>427.005821820243</v>
      </c>
      <c r="H210" s="6">
        <v>3.05054208160118</v>
      </c>
      <c r="I210" s="6">
        <v>3.05054208160118</v>
      </c>
      <c r="J210" s="6">
        <v>3.05054208160118</v>
      </c>
      <c r="K210" s="6">
        <v>3.05054208160118</v>
      </c>
      <c r="L210" s="6">
        <v>3.05054208160118</v>
      </c>
      <c r="M210" s="6">
        <v>3.05054208160118</v>
      </c>
      <c r="N210" s="6">
        <v>0.0</v>
      </c>
      <c r="O210" s="6">
        <v>0.0</v>
      </c>
      <c r="P210" s="6">
        <v>0.0</v>
      </c>
      <c r="Q210" s="6">
        <v>430.056363901844</v>
      </c>
    </row>
    <row r="211">
      <c r="A211" s="6">
        <v>209.0</v>
      </c>
      <c r="B211" s="7">
        <v>45965.0</v>
      </c>
      <c r="C211" s="6">
        <v>427.773692143978</v>
      </c>
      <c r="D211" s="6">
        <v>394.442638422338</v>
      </c>
      <c r="E211" s="6">
        <v>465.535344943617</v>
      </c>
      <c r="F211" s="6">
        <v>427.773692143978</v>
      </c>
      <c r="G211" s="6">
        <v>427.773692143978</v>
      </c>
      <c r="H211" s="6">
        <v>2.33751047960947</v>
      </c>
      <c r="I211" s="6">
        <v>2.33751047960947</v>
      </c>
      <c r="J211" s="6">
        <v>2.33751047960947</v>
      </c>
      <c r="K211" s="6">
        <v>2.33751047960947</v>
      </c>
      <c r="L211" s="6">
        <v>2.33751047960947</v>
      </c>
      <c r="M211" s="6">
        <v>2.33751047960947</v>
      </c>
      <c r="N211" s="6">
        <v>0.0</v>
      </c>
      <c r="O211" s="6">
        <v>0.0</v>
      </c>
      <c r="P211" s="6">
        <v>0.0</v>
      </c>
      <c r="Q211" s="6">
        <v>430.111202623588</v>
      </c>
    </row>
    <row r="212">
      <c r="A212" s="6">
        <v>210.0</v>
      </c>
      <c r="B212" s="7">
        <v>45966.0</v>
      </c>
      <c r="C212" s="6">
        <v>428.541562467714</v>
      </c>
      <c r="D212" s="6">
        <v>399.584184526522</v>
      </c>
      <c r="E212" s="6">
        <v>469.932486286269</v>
      </c>
      <c r="F212" s="6">
        <v>428.541562467714</v>
      </c>
      <c r="G212" s="6">
        <v>428.541562467714</v>
      </c>
      <c r="H212" s="6">
        <v>5.01607185169849</v>
      </c>
      <c r="I212" s="6">
        <v>5.01607185169849</v>
      </c>
      <c r="J212" s="6">
        <v>5.01607185169849</v>
      </c>
      <c r="K212" s="6">
        <v>5.01607185169849</v>
      </c>
      <c r="L212" s="6">
        <v>5.01607185169849</v>
      </c>
      <c r="M212" s="6">
        <v>5.01607185169849</v>
      </c>
      <c r="N212" s="6">
        <v>0.0</v>
      </c>
      <c r="O212" s="6">
        <v>0.0</v>
      </c>
      <c r="P212" s="6">
        <v>0.0</v>
      </c>
      <c r="Q212" s="6">
        <v>433.557634319412</v>
      </c>
    </row>
    <row r="213">
      <c r="A213" s="6">
        <v>211.0</v>
      </c>
      <c r="B213" s="7">
        <v>45967.0</v>
      </c>
      <c r="C213" s="6">
        <v>429.30943279145</v>
      </c>
      <c r="D213" s="6">
        <v>395.608420896172</v>
      </c>
      <c r="E213" s="6">
        <v>467.042184787348</v>
      </c>
      <c r="F213" s="6">
        <v>429.30943279145</v>
      </c>
      <c r="G213" s="6">
        <v>429.30943279145</v>
      </c>
      <c r="H213" s="6">
        <v>1.35058742614237</v>
      </c>
      <c r="I213" s="6">
        <v>1.35058742614237</v>
      </c>
      <c r="J213" s="6">
        <v>1.35058742614237</v>
      </c>
      <c r="K213" s="6">
        <v>1.35058742614237</v>
      </c>
      <c r="L213" s="6">
        <v>1.35058742614237</v>
      </c>
      <c r="M213" s="6">
        <v>1.35058742614237</v>
      </c>
      <c r="N213" s="6">
        <v>0.0</v>
      </c>
      <c r="O213" s="6">
        <v>0.0</v>
      </c>
      <c r="P213" s="6">
        <v>0.0</v>
      </c>
      <c r="Q213" s="6">
        <v>430.660020217592</v>
      </c>
    </row>
    <row r="214">
      <c r="A214" s="6">
        <v>212.0</v>
      </c>
      <c r="B214" s="7">
        <v>45968.0</v>
      </c>
      <c r="C214" s="6">
        <v>430.077303115185</v>
      </c>
      <c r="D214" s="6">
        <v>400.130869462953</v>
      </c>
      <c r="E214" s="6">
        <v>467.583835474541</v>
      </c>
      <c r="F214" s="6">
        <v>430.077303115185</v>
      </c>
      <c r="G214" s="6">
        <v>430.077303115185</v>
      </c>
      <c r="H214" s="6">
        <v>2.56958435841368</v>
      </c>
      <c r="I214" s="6">
        <v>2.56958435841368</v>
      </c>
      <c r="J214" s="6">
        <v>2.56958435841368</v>
      </c>
      <c r="K214" s="6">
        <v>2.56958435841368</v>
      </c>
      <c r="L214" s="6">
        <v>2.56958435841368</v>
      </c>
      <c r="M214" s="6">
        <v>2.56958435841368</v>
      </c>
      <c r="N214" s="6">
        <v>0.0</v>
      </c>
      <c r="O214" s="6">
        <v>0.0</v>
      </c>
      <c r="P214" s="6">
        <v>0.0</v>
      </c>
      <c r="Q214" s="6">
        <v>432.646887473599</v>
      </c>
    </row>
    <row r="215">
      <c r="A215" s="6">
        <v>213.0</v>
      </c>
      <c r="B215" s="7">
        <v>45971.0</v>
      </c>
      <c r="C215" s="6">
        <v>432.380914086392</v>
      </c>
      <c r="D215" s="6">
        <v>403.110503003993</v>
      </c>
      <c r="E215" s="6">
        <v>468.070126190408</v>
      </c>
      <c r="F215" s="6">
        <v>432.380914086392</v>
      </c>
      <c r="G215" s="6">
        <v>432.380914086392</v>
      </c>
      <c r="H215" s="6">
        <v>3.0505420816234</v>
      </c>
      <c r="I215" s="6">
        <v>3.0505420816234</v>
      </c>
      <c r="J215" s="6">
        <v>3.0505420816234</v>
      </c>
      <c r="K215" s="6">
        <v>3.0505420816234</v>
      </c>
      <c r="L215" s="6">
        <v>3.0505420816234</v>
      </c>
      <c r="M215" s="6">
        <v>3.0505420816234</v>
      </c>
      <c r="N215" s="6">
        <v>0.0</v>
      </c>
      <c r="O215" s="6">
        <v>0.0</v>
      </c>
      <c r="P215" s="6">
        <v>0.0</v>
      </c>
      <c r="Q215" s="6">
        <v>435.431456168015</v>
      </c>
    </row>
    <row r="216">
      <c r="A216" s="6">
        <v>214.0</v>
      </c>
      <c r="B216" s="7">
        <v>45972.0</v>
      </c>
      <c r="C216" s="6">
        <v>433.148784410127</v>
      </c>
      <c r="D216" s="6">
        <v>402.852604219047</v>
      </c>
      <c r="E216" s="6">
        <v>473.343765874555</v>
      </c>
      <c r="F216" s="6">
        <v>433.148784410127</v>
      </c>
      <c r="G216" s="6">
        <v>433.148784410127</v>
      </c>
      <c r="H216" s="6">
        <v>2.3375104796145</v>
      </c>
      <c r="I216" s="6">
        <v>2.3375104796145</v>
      </c>
      <c r="J216" s="6">
        <v>2.3375104796145</v>
      </c>
      <c r="K216" s="6">
        <v>2.3375104796145</v>
      </c>
      <c r="L216" s="6">
        <v>2.3375104796145</v>
      </c>
      <c r="M216" s="6">
        <v>2.3375104796145</v>
      </c>
      <c r="N216" s="6">
        <v>0.0</v>
      </c>
      <c r="O216" s="6">
        <v>0.0</v>
      </c>
      <c r="P216" s="6">
        <v>0.0</v>
      </c>
      <c r="Q216" s="6">
        <v>435.486294889742</v>
      </c>
    </row>
    <row r="217">
      <c r="A217" s="6">
        <v>215.0</v>
      </c>
      <c r="B217" s="7">
        <v>45973.0</v>
      </c>
      <c r="C217" s="6">
        <v>433.916654733863</v>
      </c>
      <c r="D217" s="6">
        <v>404.136851964976</v>
      </c>
      <c r="E217" s="6">
        <v>473.047436867326</v>
      </c>
      <c r="F217" s="6">
        <v>433.916654733863</v>
      </c>
      <c r="G217" s="6">
        <v>433.916654733863</v>
      </c>
      <c r="H217" s="6">
        <v>5.01607185170096</v>
      </c>
      <c r="I217" s="6">
        <v>5.01607185170096</v>
      </c>
      <c r="J217" s="6">
        <v>5.01607185170096</v>
      </c>
      <c r="K217" s="6">
        <v>5.01607185170096</v>
      </c>
      <c r="L217" s="6">
        <v>5.01607185170096</v>
      </c>
      <c r="M217" s="6">
        <v>5.01607185170096</v>
      </c>
      <c r="N217" s="6">
        <v>0.0</v>
      </c>
      <c r="O217" s="6">
        <v>0.0</v>
      </c>
      <c r="P217" s="6">
        <v>0.0</v>
      </c>
      <c r="Q217" s="6">
        <v>438.932726585564</v>
      </c>
    </row>
    <row r="218">
      <c r="A218" s="6">
        <v>216.0</v>
      </c>
      <c r="B218" s="7">
        <v>45974.0</v>
      </c>
      <c r="C218" s="6">
        <v>434.684525057598</v>
      </c>
      <c r="D218" s="6">
        <v>401.15778441514</v>
      </c>
      <c r="E218" s="6">
        <v>470.79231379123</v>
      </c>
      <c r="F218" s="6">
        <v>434.684525057598</v>
      </c>
      <c r="G218" s="6">
        <v>434.684525057598</v>
      </c>
      <c r="H218" s="6">
        <v>1.35058742614081</v>
      </c>
      <c r="I218" s="6">
        <v>1.35058742614081</v>
      </c>
      <c r="J218" s="6">
        <v>1.35058742614081</v>
      </c>
      <c r="K218" s="6">
        <v>1.35058742614081</v>
      </c>
      <c r="L218" s="6">
        <v>1.35058742614081</v>
      </c>
      <c r="M218" s="6">
        <v>1.35058742614081</v>
      </c>
      <c r="N218" s="6">
        <v>0.0</v>
      </c>
      <c r="O218" s="6">
        <v>0.0</v>
      </c>
      <c r="P218" s="6">
        <v>0.0</v>
      </c>
      <c r="Q218" s="6">
        <v>436.035112483739</v>
      </c>
    </row>
    <row r="219">
      <c r="A219" s="6">
        <v>217.0</v>
      </c>
      <c r="B219" s="7">
        <v>45975.0</v>
      </c>
      <c r="C219" s="6">
        <v>435.452395381334</v>
      </c>
      <c r="D219" s="6">
        <v>400.802035562214</v>
      </c>
      <c r="E219" s="6">
        <v>472.131852946055</v>
      </c>
      <c r="F219" s="6">
        <v>435.452395381334</v>
      </c>
      <c r="G219" s="6">
        <v>435.452395381334</v>
      </c>
      <c r="H219" s="6">
        <v>2.56958435841936</v>
      </c>
      <c r="I219" s="6">
        <v>2.56958435841936</v>
      </c>
      <c r="J219" s="6">
        <v>2.56958435841936</v>
      </c>
      <c r="K219" s="6">
        <v>2.56958435841936</v>
      </c>
      <c r="L219" s="6">
        <v>2.56958435841936</v>
      </c>
      <c r="M219" s="6">
        <v>2.56958435841936</v>
      </c>
      <c r="N219" s="6">
        <v>0.0</v>
      </c>
      <c r="O219" s="6">
        <v>0.0</v>
      </c>
      <c r="P219" s="6">
        <v>0.0</v>
      </c>
      <c r="Q219" s="6">
        <v>438.021979739753</v>
      </c>
    </row>
    <row r="220">
      <c r="A220" s="6">
        <v>218.0</v>
      </c>
      <c r="B220" s="7">
        <v>45978.0</v>
      </c>
      <c r="C220" s="6">
        <v>437.756006352541</v>
      </c>
      <c r="D220" s="6">
        <v>401.547463712156</v>
      </c>
      <c r="E220" s="6">
        <v>473.916785372727</v>
      </c>
      <c r="F220" s="6">
        <v>437.756006352541</v>
      </c>
      <c r="G220" s="6">
        <v>437.756006352541</v>
      </c>
      <c r="H220" s="6">
        <v>3.05054208161822</v>
      </c>
      <c r="I220" s="6">
        <v>3.05054208161822</v>
      </c>
      <c r="J220" s="6">
        <v>3.05054208161822</v>
      </c>
      <c r="K220" s="6">
        <v>3.05054208161822</v>
      </c>
      <c r="L220" s="6">
        <v>3.05054208161822</v>
      </c>
      <c r="M220" s="6">
        <v>3.05054208161822</v>
      </c>
      <c r="N220" s="6">
        <v>0.0</v>
      </c>
      <c r="O220" s="6">
        <v>0.0</v>
      </c>
      <c r="P220" s="6">
        <v>0.0</v>
      </c>
      <c r="Q220" s="6">
        <v>440.806548434159</v>
      </c>
    </row>
    <row r="221">
      <c r="A221" s="6">
        <v>219.0</v>
      </c>
      <c r="B221" s="7">
        <v>45979.0</v>
      </c>
      <c r="C221" s="6">
        <v>438.523876676276</v>
      </c>
      <c r="D221" s="6">
        <v>406.295407160556</v>
      </c>
      <c r="E221" s="6">
        <v>472.938641874432</v>
      </c>
      <c r="F221" s="6">
        <v>438.523876676276</v>
      </c>
      <c r="G221" s="6">
        <v>438.523876676276</v>
      </c>
      <c r="H221" s="6">
        <v>2.33751047961187</v>
      </c>
      <c r="I221" s="6">
        <v>2.33751047961187</v>
      </c>
      <c r="J221" s="6">
        <v>2.33751047961187</v>
      </c>
      <c r="K221" s="6">
        <v>2.33751047961187</v>
      </c>
      <c r="L221" s="6">
        <v>2.33751047961187</v>
      </c>
      <c r="M221" s="6">
        <v>2.33751047961187</v>
      </c>
      <c r="N221" s="6">
        <v>0.0</v>
      </c>
      <c r="O221" s="6">
        <v>0.0</v>
      </c>
      <c r="P221" s="6">
        <v>0.0</v>
      </c>
      <c r="Q221" s="6">
        <v>440.861387155888</v>
      </c>
    </row>
    <row r="222">
      <c r="A222" s="6">
        <v>220.0</v>
      </c>
      <c r="B222" s="7">
        <v>45980.0</v>
      </c>
      <c r="C222" s="6">
        <v>439.291747000012</v>
      </c>
      <c r="D222" s="6">
        <v>409.611595940249</v>
      </c>
      <c r="E222" s="6">
        <v>479.335719587509</v>
      </c>
      <c r="F222" s="6">
        <v>439.291747000012</v>
      </c>
      <c r="G222" s="6">
        <v>439.291747000012</v>
      </c>
      <c r="H222" s="6">
        <v>5.01607185170036</v>
      </c>
      <c r="I222" s="6">
        <v>5.01607185170036</v>
      </c>
      <c r="J222" s="6">
        <v>5.01607185170036</v>
      </c>
      <c r="K222" s="6">
        <v>5.01607185170036</v>
      </c>
      <c r="L222" s="6">
        <v>5.01607185170036</v>
      </c>
      <c r="M222" s="6">
        <v>5.01607185170036</v>
      </c>
      <c r="N222" s="6">
        <v>0.0</v>
      </c>
      <c r="O222" s="6">
        <v>0.0</v>
      </c>
      <c r="P222" s="6">
        <v>0.0</v>
      </c>
      <c r="Q222" s="6">
        <v>444.307818851712</v>
      </c>
    </row>
    <row r="223">
      <c r="A223" s="6">
        <v>221.0</v>
      </c>
      <c r="B223" s="7">
        <v>45981.0</v>
      </c>
      <c r="C223" s="6">
        <v>440.059617323747</v>
      </c>
      <c r="D223" s="6">
        <v>404.468463867659</v>
      </c>
      <c r="E223" s="6">
        <v>476.927237893007</v>
      </c>
      <c r="F223" s="6">
        <v>440.059617323747</v>
      </c>
      <c r="G223" s="6">
        <v>440.059617323747</v>
      </c>
      <c r="H223" s="6">
        <v>1.35058742614323</v>
      </c>
      <c r="I223" s="6">
        <v>1.35058742614323</v>
      </c>
      <c r="J223" s="6">
        <v>1.35058742614323</v>
      </c>
      <c r="K223" s="6">
        <v>1.35058742614323</v>
      </c>
      <c r="L223" s="6">
        <v>1.35058742614323</v>
      </c>
      <c r="M223" s="6">
        <v>1.35058742614323</v>
      </c>
      <c r="N223" s="6">
        <v>0.0</v>
      </c>
      <c r="O223" s="6">
        <v>0.0</v>
      </c>
      <c r="P223" s="6">
        <v>0.0</v>
      </c>
      <c r="Q223" s="6">
        <v>441.41020474989</v>
      </c>
    </row>
    <row r="224">
      <c r="A224" s="6">
        <v>222.0</v>
      </c>
      <c r="B224" s="7">
        <v>45982.0</v>
      </c>
      <c r="C224" s="6">
        <v>440.827487647483</v>
      </c>
      <c r="D224" s="6">
        <v>408.328237649231</v>
      </c>
      <c r="E224" s="6">
        <v>479.430753924346</v>
      </c>
      <c r="F224" s="6">
        <v>440.827487647483</v>
      </c>
      <c r="G224" s="6">
        <v>440.827487647483</v>
      </c>
      <c r="H224" s="6">
        <v>2.56958435839793</v>
      </c>
      <c r="I224" s="6">
        <v>2.56958435839793</v>
      </c>
      <c r="J224" s="6">
        <v>2.56958435839793</v>
      </c>
      <c r="K224" s="6">
        <v>2.56958435839793</v>
      </c>
      <c r="L224" s="6">
        <v>2.56958435839793</v>
      </c>
      <c r="M224" s="6">
        <v>2.56958435839793</v>
      </c>
      <c r="N224" s="6">
        <v>0.0</v>
      </c>
      <c r="O224" s="6">
        <v>0.0</v>
      </c>
      <c r="P224" s="6">
        <v>0.0</v>
      </c>
      <c r="Q224" s="6">
        <v>443.397072005881</v>
      </c>
    </row>
    <row r="225">
      <c r="A225" s="6">
        <v>223.0</v>
      </c>
      <c r="B225" s="7">
        <v>45985.0</v>
      </c>
      <c r="C225" s="6">
        <v>443.131098618689</v>
      </c>
      <c r="D225" s="6">
        <v>408.430005421156</v>
      </c>
      <c r="E225" s="6">
        <v>480.346402321239</v>
      </c>
      <c r="F225" s="6">
        <v>443.131098618689</v>
      </c>
      <c r="G225" s="6">
        <v>443.131098618689</v>
      </c>
      <c r="H225" s="6">
        <v>3.05054208159698</v>
      </c>
      <c r="I225" s="6">
        <v>3.05054208159698</v>
      </c>
      <c r="J225" s="6">
        <v>3.05054208159698</v>
      </c>
      <c r="K225" s="6">
        <v>3.05054208159698</v>
      </c>
      <c r="L225" s="6">
        <v>3.05054208159698</v>
      </c>
      <c r="M225" s="6">
        <v>3.05054208159698</v>
      </c>
      <c r="N225" s="6">
        <v>0.0</v>
      </c>
      <c r="O225" s="6">
        <v>0.0</v>
      </c>
      <c r="P225" s="6">
        <v>0.0</v>
      </c>
      <c r="Q225" s="6">
        <v>446.181640700286</v>
      </c>
    </row>
    <row r="226">
      <c r="A226" s="6">
        <v>224.0</v>
      </c>
      <c r="B226" s="7">
        <v>45986.0</v>
      </c>
      <c r="C226" s="6">
        <v>443.898968942425</v>
      </c>
      <c r="D226" s="6">
        <v>410.107563509728</v>
      </c>
      <c r="E226" s="6">
        <v>476.931090291252</v>
      </c>
      <c r="F226" s="6">
        <v>443.898968942425</v>
      </c>
      <c r="G226" s="6">
        <v>443.898968942425</v>
      </c>
      <c r="H226" s="6">
        <v>2.3375104796169</v>
      </c>
      <c r="I226" s="6">
        <v>2.3375104796169</v>
      </c>
      <c r="J226" s="6">
        <v>2.3375104796169</v>
      </c>
      <c r="K226" s="6">
        <v>2.3375104796169</v>
      </c>
      <c r="L226" s="6">
        <v>2.3375104796169</v>
      </c>
      <c r="M226" s="6">
        <v>2.3375104796169</v>
      </c>
      <c r="N226" s="6">
        <v>0.0</v>
      </c>
      <c r="O226" s="6">
        <v>0.0</v>
      </c>
      <c r="P226" s="6">
        <v>0.0</v>
      </c>
      <c r="Q226" s="6">
        <v>446.236479422042</v>
      </c>
    </row>
    <row r="227">
      <c r="A227" s="6">
        <v>225.0</v>
      </c>
      <c r="B227" s="7">
        <v>45987.0</v>
      </c>
      <c r="C227" s="6">
        <v>444.666839266161</v>
      </c>
      <c r="D227" s="6">
        <v>412.269734871029</v>
      </c>
      <c r="E227" s="6">
        <v>482.745937548927</v>
      </c>
      <c r="F227" s="6">
        <v>444.666839266161</v>
      </c>
      <c r="G227" s="6">
        <v>444.666839266161</v>
      </c>
      <c r="H227" s="6">
        <v>5.01607185169987</v>
      </c>
      <c r="I227" s="6">
        <v>5.01607185169987</v>
      </c>
      <c r="J227" s="6">
        <v>5.01607185169987</v>
      </c>
      <c r="K227" s="6">
        <v>5.01607185169987</v>
      </c>
      <c r="L227" s="6">
        <v>5.01607185169987</v>
      </c>
      <c r="M227" s="6">
        <v>5.01607185169987</v>
      </c>
      <c r="N227" s="6">
        <v>0.0</v>
      </c>
      <c r="O227" s="6">
        <v>0.0</v>
      </c>
      <c r="P227" s="6">
        <v>0.0</v>
      </c>
      <c r="Q227" s="6">
        <v>449.68291111786</v>
      </c>
    </row>
    <row r="228">
      <c r="A228" s="6">
        <v>226.0</v>
      </c>
      <c r="B228" s="7">
        <v>45989.0</v>
      </c>
      <c r="C228" s="6">
        <v>446.202579913632</v>
      </c>
      <c r="D228" s="6">
        <v>414.452240020032</v>
      </c>
      <c r="E228" s="6">
        <v>484.440551595467</v>
      </c>
      <c r="F228" s="6">
        <v>446.202579913632</v>
      </c>
      <c r="G228" s="6">
        <v>446.202579913632</v>
      </c>
      <c r="H228" s="6">
        <v>2.56958435840362</v>
      </c>
      <c r="I228" s="6">
        <v>2.56958435840362</v>
      </c>
      <c r="J228" s="6">
        <v>2.56958435840362</v>
      </c>
      <c r="K228" s="6">
        <v>2.56958435840362</v>
      </c>
      <c r="L228" s="6">
        <v>2.56958435840362</v>
      </c>
      <c r="M228" s="6">
        <v>2.56958435840362</v>
      </c>
      <c r="N228" s="6">
        <v>0.0</v>
      </c>
      <c r="O228" s="6">
        <v>0.0</v>
      </c>
      <c r="P228" s="6">
        <v>0.0</v>
      </c>
      <c r="Q228" s="6">
        <v>448.772164272035</v>
      </c>
    </row>
    <row r="229">
      <c r="A229" s="6">
        <v>227.0</v>
      </c>
      <c r="B229" s="7">
        <v>45992.0</v>
      </c>
      <c r="C229" s="6">
        <v>448.506190884838</v>
      </c>
      <c r="D229" s="6">
        <v>416.470590200647</v>
      </c>
      <c r="E229" s="6">
        <v>489.451726416319</v>
      </c>
      <c r="F229" s="6">
        <v>448.506190884838</v>
      </c>
      <c r="G229" s="6">
        <v>448.506190884838</v>
      </c>
      <c r="H229" s="6">
        <v>3.05054208160551</v>
      </c>
      <c r="I229" s="6">
        <v>3.05054208160551</v>
      </c>
      <c r="J229" s="6">
        <v>3.05054208160551</v>
      </c>
      <c r="K229" s="6">
        <v>3.05054208160551</v>
      </c>
      <c r="L229" s="6">
        <v>3.05054208160551</v>
      </c>
      <c r="M229" s="6">
        <v>3.05054208160551</v>
      </c>
      <c r="N229" s="6">
        <v>0.0</v>
      </c>
      <c r="O229" s="6">
        <v>0.0</v>
      </c>
      <c r="P229" s="6">
        <v>0.0</v>
      </c>
      <c r="Q229" s="6">
        <v>451.556732966444</v>
      </c>
    </row>
    <row r="230">
      <c r="A230" s="6">
        <v>228.0</v>
      </c>
      <c r="B230" s="7">
        <v>45993.0</v>
      </c>
      <c r="C230" s="6">
        <v>449.274061208574</v>
      </c>
      <c r="D230" s="6">
        <v>413.656295313049</v>
      </c>
      <c r="E230" s="6">
        <v>484.49079984835</v>
      </c>
      <c r="F230" s="6">
        <v>449.274061208574</v>
      </c>
      <c r="G230" s="6">
        <v>449.274061208574</v>
      </c>
      <c r="H230" s="6">
        <v>2.3375104796066</v>
      </c>
      <c r="I230" s="6">
        <v>2.3375104796066</v>
      </c>
      <c r="J230" s="6">
        <v>2.3375104796066</v>
      </c>
      <c r="K230" s="6">
        <v>2.3375104796066</v>
      </c>
      <c r="L230" s="6">
        <v>2.3375104796066</v>
      </c>
      <c r="M230" s="6">
        <v>2.3375104796066</v>
      </c>
      <c r="N230" s="6">
        <v>0.0</v>
      </c>
      <c r="O230" s="6">
        <v>0.0</v>
      </c>
      <c r="P230" s="6">
        <v>0.0</v>
      </c>
      <c r="Q230" s="6">
        <v>451.61157168818</v>
      </c>
    </row>
    <row r="231">
      <c r="A231" s="6">
        <v>229.0</v>
      </c>
      <c r="B231" s="7">
        <v>45994.0</v>
      </c>
      <c r="C231" s="6">
        <v>450.041931532309</v>
      </c>
      <c r="D231" s="6">
        <v>419.591035439717</v>
      </c>
      <c r="E231" s="6">
        <v>489.280928765034</v>
      </c>
      <c r="F231" s="6">
        <v>450.041931532309</v>
      </c>
      <c r="G231" s="6">
        <v>450.041931532309</v>
      </c>
      <c r="H231" s="6">
        <v>5.01607185169937</v>
      </c>
      <c r="I231" s="6">
        <v>5.01607185169937</v>
      </c>
      <c r="J231" s="6">
        <v>5.01607185169937</v>
      </c>
      <c r="K231" s="6">
        <v>5.01607185169937</v>
      </c>
      <c r="L231" s="6">
        <v>5.01607185169937</v>
      </c>
      <c r="M231" s="6">
        <v>5.01607185169937</v>
      </c>
      <c r="N231" s="6">
        <v>0.0</v>
      </c>
      <c r="O231" s="6">
        <v>0.0</v>
      </c>
      <c r="P231" s="6">
        <v>0.0</v>
      </c>
      <c r="Q231" s="6">
        <v>455.058003384009</v>
      </c>
    </row>
    <row r="232">
      <c r="A232" s="6">
        <v>230.0</v>
      </c>
      <c r="B232" s="7">
        <v>45995.0</v>
      </c>
      <c r="C232" s="6">
        <v>450.809801856045</v>
      </c>
      <c r="D232" s="6">
        <v>415.486311033994</v>
      </c>
      <c r="E232" s="6">
        <v>486.857358563036</v>
      </c>
      <c r="F232" s="6">
        <v>450.809801856045</v>
      </c>
      <c r="G232" s="6">
        <v>450.809801856045</v>
      </c>
      <c r="H232" s="6">
        <v>1.35058742614061</v>
      </c>
      <c r="I232" s="6">
        <v>1.35058742614061</v>
      </c>
      <c r="J232" s="6">
        <v>1.35058742614061</v>
      </c>
      <c r="K232" s="6">
        <v>1.35058742614061</v>
      </c>
      <c r="L232" s="6">
        <v>1.35058742614061</v>
      </c>
      <c r="M232" s="6">
        <v>1.35058742614061</v>
      </c>
      <c r="N232" s="6">
        <v>0.0</v>
      </c>
      <c r="O232" s="6">
        <v>0.0</v>
      </c>
      <c r="P232" s="6">
        <v>0.0</v>
      </c>
      <c r="Q232" s="6">
        <v>452.160389282186</v>
      </c>
    </row>
    <row r="233">
      <c r="A233" s="6">
        <v>231.0</v>
      </c>
      <c r="B233" s="7">
        <v>45996.0</v>
      </c>
      <c r="C233" s="6">
        <v>451.577672179781</v>
      </c>
      <c r="D233" s="6">
        <v>420.225963772562</v>
      </c>
      <c r="E233" s="6">
        <v>488.75250454502</v>
      </c>
      <c r="F233" s="6">
        <v>451.577672179781</v>
      </c>
      <c r="G233" s="6">
        <v>451.577672179781</v>
      </c>
      <c r="H233" s="6">
        <v>2.56958435842211</v>
      </c>
      <c r="I233" s="6">
        <v>2.56958435842211</v>
      </c>
      <c r="J233" s="6">
        <v>2.56958435842211</v>
      </c>
      <c r="K233" s="6">
        <v>2.56958435842211</v>
      </c>
      <c r="L233" s="6">
        <v>2.56958435842211</v>
      </c>
      <c r="M233" s="6">
        <v>2.56958435842211</v>
      </c>
      <c r="N233" s="6">
        <v>0.0</v>
      </c>
      <c r="O233" s="6">
        <v>0.0</v>
      </c>
      <c r="P233" s="6">
        <v>0.0</v>
      </c>
      <c r="Q233" s="6">
        <v>454.147256538203</v>
      </c>
    </row>
    <row r="234">
      <c r="A234" s="6">
        <v>232.0</v>
      </c>
      <c r="B234" s="7">
        <v>45999.0</v>
      </c>
      <c r="C234" s="6">
        <v>453.881283150987</v>
      </c>
      <c r="D234" s="6">
        <v>421.686796690619</v>
      </c>
      <c r="E234" s="6">
        <v>493.232843657369</v>
      </c>
      <c r="F234" s="6">
        <v>453.881283150987</v>
      </c>
      <c r="G234" s="6">
        <v>453.881283150987</v>
      </c>
      <c r="H234" s="6">
        <v>3.05054208161403</v>
      </c>
      <c r="I234" s="6">
        <v>3.05054208161403</v>
      </c>
      <c r="J234" s="6">
        <v>3.05054208161403</v>
      </c>
      <c r="K234" s="6">
        <v>3.05054208161403</v>
      </c>
      <c r="L234" s="6">
        <v>3.05054208161403</v>
      </c>
      <c r="M234" s="6">
        <v>3.05054208161403</v>
      </c>
      <c r="N234" s="6">
        <v>0.0</v>
      </c>
      <c r="O234" s="6">
        <v>0.0</v>
      </c>
      <c r="P234" s="6">
        <v>0.0</v>
      </c>
      <c r="Q234" s="6">
        <v>456.931825232601</v>
      </c>
    </row>
    <row r="235">
      <c r="A235" s="6">
        <v>233.0</v>
      </c>
      <c r="B235" s="7">
        <v>46000.0</v>
      </c>
      <c r="C235" s="6">
        <v>454.649153474723</v>
      </c>
      <c r="D235" s="6">
        <v>424.036645765571</v>
      </c>
      <c r="E235" s="6">
        <v>493.854159026603</v>
      </c>
      <c r="F235" s="6">
        <v>454.649153474723</v>
      </c>
      <c r="G235" s="6">
        <v>454.649153474723</v>
      </c>
      <c r="H235" s="6">
        <v>2.33751047960887</v>
      </c>
      <c r="I235" s="6">
        <v>2.33751047960887</v>
      </c>
      <c r="J235" s="6">
        <v>2.33751047960887</v>
      </c>
      <c r="K235" s="6">
        <v>2.33751047960887</v>
      </c>
      <c r="L235" s="6">
        <v>2.33751047960887</v>
      </c>
      <c r="M235" s="6">
        <v>2.33751047960887</v>
      </c>
      <c r="N235" s="6">
        <v>0.0</v>
      </c>
      <c r="O235" s="6">
        <v>0.0</v>
      </c>
      <c r="P235" s="6">
        <v>0.0</v>
      </c>
      <c r="Q235" s="6">
        <v>456.986663954332</v>
      </c>
    </row>
    <row r="236">
      <c r="A236" s="6">
        <v>234.0</v>
      </c>
      <c r="B236" s="7">
        <v>46001.0</v>
      </c>
      <c r="C236" s="6">
        <v>455.417023798458</v>
      </c>
      <c r="D236" s="6">
        <v>426.042270317977</v>
      </c>
      <c r="E236" s="6">
        <v>495.157971446737</v>
      </c>
      <c r="F236" s="6">
        <v>455.417023798458</v>
      </c>
      <c r="G236" s="6">
        <v>455.417023798458</v>
      </c>
      <c r="H236" s="6">
        <v>5.01607185170174</v>
      </c>
      <c r="I236" s="6">
        <v>5.01607185170174</v>
      </c>
      <c r="J236" s="6">
        <v>5.01607185170174</v>
      </c>
      <c r="K236" s="6">
        <v>5.01607185170174</v>
      </c>
      <c r="L236" s="6">
        <v>5.01607185170174</v>
      </c>
      <c r="M236" s="6">
        <v>5.01607185170174</v>
      </c>
      <c r="N236" s="6">
        <v>0.0</v>
      </c>
      <c r="O236" s="6">
        <v>0.0</v>
      </c>
      <c r="P236" s="6">
        <v>0.0</v>
      </c>
      <c r="Q236" s="6">
        <v>460.43309565016</v>
      </c>
    </row>
    <row r="237">
      <c r="A237" s="6">
        <v>235.0</v>
      </c>
      <c r="B237" s="7">
        <v>46002.0</v>
      </c>
      <c r="C237" s="6">
        <v>456.184894122194</v>
      </c>
      <c r="D237" s="6">
        <v>423.322717978688</v>
      </c>
      <c r="E237" s="6">
        <v>493.349069099762</v>
      </c>
      <c r="F237" s="6">
        <v>456.184894122194</v>
      </c>
      <c r="G237" s="6">
        <v>456.184894122194</v>
      </c>
      <c r="H237" s="6">
        <v>1.35058742613557</v>
      </c>
      <c r="I237" s="6">
        <v>1.35058742613557</v>
      </c>
      <c r="J237" s="6">
        <v>1.35058742613557</v>
      </c>
      <c r="K237" s="6">
        <v>1.35058742613557</v>
      </c>
      <c r="L237" s="6">
        <v>1.35058742613557</v>
      </c>
      <c r="M237" s="6">
        <v>1.35058742613557</v>
      </c>
      <c r="N237" s="6">
        <v>0.0</v>
      </c>
      <c r="O237" s="6">
        <v>0.0</v>
      </c>
      <c r="P237" s="6">
        <v>0.0</v>
      </c>
      <c r="Q237" s="6">
        <v>457.535481548329</v>
      </c>
    </row>
    <row r="238">
      <c r="A238" s="6">
        <v>236.0</v>
      </c>
      <c r="B238" s="7">
        <v>46003.0</v>
      </c>
      <c r="C238" s="6">
        <v>456.952764445929</v>
      </c>
      <c r="D238" s="6">
        <v>426.018618086935</v>
      </c>
      <c r="E238" s="6">
        <v>497.172660114139</v>
      </c>
      <c r="F238" s="6">
        <v>456.952764445929</v>
      </c>
      <c r="G238" s="6">
        <v>456.952764445929</v>
      </c>
      <c r="H238" s="6">
        <v>2.56958435841423</v>
      </c>
      <c r="I238" s="6">
        <v>2.56958435841423</v>
      </c>
      <c r="J238" s="6">
        <v>2.56958435841423</v>
      </c>
      <c r="K238" s="6">
        <v>2.56958435841423</v>
      </c>
      <c r="L238" s="6">
        <v>2.56958435841423</v>
      </c>
      <c r="M238" s="6">
        <v>2.56958435841423</v>
      </c>
      <c r="N238" s="6">
        <v>0.0</v>
      </c>
      <c r="O238" s="6">
        <v>0.0</v>
      </c>
      <c r="P238" s="6">
        <v>0.0</v>
      </c>
      <c r="Q238" s="6">
        <v>459.522348804344</v>
      </c>
    </row>
    <row r="239">
      <c r="A239" s="6">
        <v>237.0</v>
      </c>
      <c r="B239" s="7">
        <v>46006.0</v>
      </c>
      <c r="C239" s="6">
        <v>459.256375417136</v>
      </c>
      <c r="D239" s="6">
        <v>425.058312222382</v>
      </c>
      <c r="E239" s="6">
        <v>496.156717495025</v>
      </c>
      <c r="F239" s="6">
        <v>459.256375417136</v>
      </c>
      <c r="G239" s="6">
        <v>459.256375417136</v>
      </c>
      <c r="H239" s="6">
        <v>3.05054208160885</v>
      </c>
      <c r="I239" s="6">
        <v>3.05054208160885</v>
      </c>
      <c r="J239" s="6">
        <v>3.05054208160885</v>
      </c>
      <c r="K239" s="6">
        <v>3.05054208160885</v>
      </c>
      <c r="L239" s="6">
        <v>3.05054208160885</v>
      </c>
      <c r="M239" s="6">
        <v>3.05054208160885</v>
      </c>
      <c r="N239" s="6">
        <v>0.0</v>
      </c>
      <c r="O239" s="6">
        <v>0.0</v>
      </c>
      <c r="P239" s="6">
        <v>0.0</v>
      </c>
      <c r="Q239" s="6">
        <v>462.306917498745</v>
      </c>
    </row>
    <row r="240">
      <c r="A240" s="6">
        <v>238.0</v>
      </c>
      <c r="B240" s="7">
        <v>46007.0</v>
      </c>
      <c r="C240" s="6">
        <v>460.024245740872</v>
      </c>
      <c r="D240" s="6">
        <v>425.238136666937</v>
      </c>
      <c r="E240" s="6">
        <v>496.968090250703</v>
      </c>
      <c r="F240" s="6">
        <v>460.024245740872</v>
      </c>
      <c r="G240" s="6">
        <v>460.024245740872</v>
      </c>
      <c r="H240" s="6">
        <v>2.33751047960623</v>
      </c>
      <c r="I240" s="6">
        <v>2.33751047960623</v>
      </c>
      <c r="J240" s="6">
        <v>2.33751047960623</v>
      </c>
      <c r="K240" s="6">
        <v>2.33751047960623</v>
      </c>
      <c r="L240" s="6">
        <v>2.33751047960623</v>
      </c>
      <c r="M240" s="6">
        <v>2.33751047960623</v>
      </c>
      <c r="N240" s="6">
        <v>0.0</v>
      </c>
      <c r="O240" s="6">
        <v>0.0</v>
      </c>
      <c r="P240" s="6">
        <v>0.0</v>
      </c>
      <c r="Q240" s="6">
        <v>462.361756220478</v>
      </c>
    </row>
    <row r="241">
      <c r="A241" s="6">
        <v>239.0</v>
      </c>
      <c r="B241" s="7">
        <v>46008.0</v>
      </c>
      <c r="C241" s="6">
        <v>460.792116064607</v>
      </c>
      <c r="D241" s="6">
        <v>434.377628181613</v>
      </c>
      <c r="E241" s="6">
        <v>500.912116586872</v>
      </c>
      <c r="F241" s="6">
        <v>460.792116064607</v>
      </c>
      <c r="G241" s="6">
        <v>460.792116064607</v>
      </c>
      <c r="H241" s="6">
        <v>5.01607185170113</v>
      </c>
      <c r="I241" s="6">
        <v>5.01607185170113</v>
      </c>
      <c r="J241" s="6">
        <v>5.01607185170113</v>
      </c>
      <c r="K241" s="6">
        <v>5.01607185170113</v>
      </c>
      <c r="L241" s="6">
        <v>5.01607185170113</v>
      </c>
      <c r="M241" s="6">
        <v>5.01607185170113</v>
      </c>
      <c r="N241" s="6">
        <v>0.0</v>
      </c>
      <c r="O241" s="6">
        <v>0.0</v>
      </c>
      <c r="P241" s="6">
        <v>0.0</v>
      </c>
      <c r="Q241" s="6">
        <v>465.808187916308</v>
      </c>
    </row>
    <row r="242">
      <c r="A242" s="6">
        <v>240.0</v>
      </c>
      <c r="B242" s="7">
        <v>46009.0</v>
      </c>
      <c r="C242" s="6">
        <v>461.559986388343</v>
      </c>
      <c r="D242" s="6">
        <v>427.982994464838</v>
      </c>
      <c r="E242" s="6">
        <v>499.398433431162</v>
      </c>
      <c r="F242" s="6">
        <v>461.559986388343</v>
      </c>
      <c r="G242" s="6">
        <v>461.559986388343</v>
      </c>
      <c r="H242" s="6">
        <v>1.35058742613799</v>
      </c>
      <c r="I242" s="6">
        <v>1.35058742613799</v>
      </c>
      <c r="J242" s="6">
        <v>1.35058742613799</v>
      </c>
      <c r="K242" s="6">
        <v>1.35058742613799</v>
      </c>
      <c r="L242" s="6">
        <v>1.35058742613799</v>
      </c>
      <c r="M242" s="6">
        <v>1.35058742613799</v>
      </c>
      <c r="N242" s="6">
        <v>0.0</v>
      </c>
      <c r="O242" s="6">
        <v>0.0</v>
      </c>
      <c r="P242" s="6">
        <v>0.0</v>
      </c>
      <c r="Q242" s="6">
        <v>462.910573814481</v>
      </c>
    </row>
    <row r="243">
      <c r="A243" s="6">
        <v>241.0</v>
      </c>
      <c r="B243" s="7">
        <v>46010.0</v>
      </c>
      <c r="C243" s="6">
        <v>462.327856712078</v>
      </c>
      <c r="D243" s="6">
        <v>431.015339597198</v>
      </c>
      <c r="E243" s="6">
        <v>503.217153220135</v>
      </c>
      <c r="F243" s="6">
        <v>462.327856712078</v>
      </c>
      <c r="G243" s="6">
        <v>462.327856712078</v>
      </c>
      <c r="H243" s="6">
        <v>2.56958435840636</v>
      </c>
      <c r="I243" s="6">
        <v>2.56958435840636</v>
      </c>
      <c r="J243" s="6">
        <v>2.56958435840636</v>
      </c>
      <c r="K243" s="6">
        <v>2.56958435840636</v>
      </c>
      <c r="L243" s="6">
        <v>2.56958435840636</v>
      </c>
      <c r="M243" s="6">
        <v>2.56958435840636</v>
      </c>
      <c r="N243" s="6">
        <v>0.0</v>
      </c>
      <c r="O243" s="6">
        <v>0.0</v>
      </c>
      <c r="P243" s="6">
        <v>0.0</v>
      </c>
      <c r="Q243" s="6">
        <v>464.897441070485</v>
      </c>
    </row>
    <row r="244">
      <c r="A244" s="6">
        <v>242.0</v>
      </c>
      <c r="B244" s="7">
        <v>46013.0</v>
      </c>
      <c r="C244" s="6">
        <v>464.631467683285</v>
      </c>
      <c r="D244" s="6">
        <v>432.967695970302</v>
      </c>
      <c r="E244" s="6">
        <v>503.811716762308</v>
      </c>
      <c r="F244" s="6">
        <v>464.631467683285</v>
      </c>
      <c r="G244" s="6">
        <v>464.631467683285</v>
      </c>
      <c r="H244" s="6">
        <v>3.05054208160368</v>
      </c>
      <c r="I244" s="6">
        <v>3.05054208160368</v>
      </c>
      <c r="J244" s="6">
        <v>3.05054208160368</v>
      </c>
      <c r="K244" s="6">
        <v>3.05054208160368</v>
      </c>
      <c r="L244" s="6">
        <v>3.05054208160368</v>
      </c>
      <c r="M244" s="6">
        <v>3.05054208160368</v>
      </c>
      <c r="N244" s="6">
        <v>0.0</v>
      </c>
      <c r="O244" s="6">
        <v>0.0</v>
      </c>
      <c r="P244" s="6">
        <v>0.0</v>
      </c>
      <c r="Q244" s="6">
        <v>467.682009764889</v>
      </c>
    </row>
    <row r="245">
      <c r="A245" s="6">
        <v>243.0</v>
      </c>
      <c r="B245" s="7">
        <v>46014.0</v>
      </c>
      <c r="C245" s="6">
        <v>465.39933800702</v>
      </c>
      <c r="D245" s="6">
        <v>432.662886331847</v>
      </c>
      <c r="E245" s="6">
        <v>504.831921547526</v>
      </c>
      <c r="F245" s="6">
        <v>465.39933800702</v>
      </c>
      <c r="G245" s="6">
        <v>465.39933800702</v>
      </c>
      <c r="H245" s="6">
        <v>2.33751047961126</v>
      </c>
      <c r="I245" s="6">
        <v>2.33751047961126</v>
      </c>
      <c r="J245" s="6">
        <v>2.33751047961126</v>
      </c>
      <c r="K245" s="6">
        <v>2.33751047961126</v>
      </c>
      <c r="L245" s="6">
        <v>2.33751047961126</v>
      </c>
      <c r="M245" s="6">
        <v>2.33751047961126</v>
      </c>
      <c r="N245" s="6">
        <v>0.0</v>
      </c>
      <c r="O245" s="6">
        <v>0.0</v>
      </c>
      <c r="P245" s="6">
        <v>0.0</v>
      </c>
      <c r="Q245" s="6">
        <v>467.736848486632</v>
      </c>
    </row>
    <row r="246">
      <c r="A246" s="6">
        <v>244.0</v>
      </c>
      <c r="B246" s="7">
        <v>46015.0</v>
      </c>
      <c r="C246" s="6">
        <v>466.167208330756</v>
      </c>
      <c r="D246" s="6">
        <v>435.750238833615</v>
      </c>
      <c r="E246" s="6">
        <v>506.790547997942</v>
      </c>
      <c r="F246" s="6">
        <v>466.167208330756</v>
      </c>
      <c r="G246" s="6">
        <v>466.167208330756</v>
      </c>
      <c r="H246" s="6">
        <v>5.01607185170075</v>
      </c>
      <c r="I246" s="6">
        <v>5.01607185170075</v>
      </c>
      <c r="J246" s="6">
        <v>5.01607185170075</v>
      </c>
      <c r="K246" s="6">
        <v>5.01607185170075</v>
      </c>
      <c r="L246" s="6">
        <v>5.01607185170075</v>
      </c>
      <c r="M246" s="6">
        <v>5.01607185170075</v>
      </c>
      <c r="N246" s="6">
        <v>0.0</v>
      </c>
      <c r="O246" s="6">
        <v>0.0</v>
      </c>
      <c r="P246" s="6">
        <v>0.0</v>
      </c>
      <c r="Q246" s="6">
        <v>471.183280182457</v>
      </c>
    </row>
    <row r="247">
      <c r="A247" s="6">
        <v>245.0</v>
      </c>
      <c r="B247" s="7">
        <v>46017.0</v>
      </c>
      <c r="C247" s="6">
        <v>467.702948978227</v>
      </c>
      <c r="D247" s="6">
        <v>433.440243888711</v>
      </c>
      <c r="E247" s="6">
        <v>504.509475714391</v>
      </c>
      <c r="F247" s="6">
        <v>467.702948978227</v>
      </c>
      <c r="G247" s="6">
        <v>467.702948978227</v>
      </c>
      <c r="H247" s="6">
        <v>2.56958435842485</v>
      </c>
      <c r="I247" s="6">
        <v>2.56958435842485</v>
      </c>
      <c r="J247" s="6">
        <v>2.56958435842485</v>
      </c>
      <c r="K247" s="6">
        <v>2.56958435842485</v>
      </c>
      <c r="L247" s="6">
        <v>2.56958435842485</v>
      </c>
      <c r="M247" s="6">
        <v>2.56958435842485</v>
      </c>
      <c r="N247" s="6">
        <v>0.0</v>
      </c>
      <c r="O247" s="6">
        <v>0.0</v>
      </c>
      <c r="P247" s="6">
        <v>0.0</v>
      </c>
      <c r="Q247" s="6">
        <v>470.272533336652</v>
      </c>
    </row>
    <row r="248">
      <c r="A248" s="6">
        <v>246.0</v>
      </c>
      <c r="B248" s="7">
        <v>46020.0</v>
      </c>
      <c r="C248" s="6">
        <v>470.006559949434</v>
      </c>
      <c r="D248" s="6">
        <v>438.686487791552</v>
      </c>
      <c r="E248" s="6">
        <v>507.862882761248</v>
      </c>
      <c r="F248" s="6">
        <v>470.006559949434</v>
      </c>
      <c r="G248" s="6">
        <v>470.006559949434</v>
      </c>
      <c r="H248" s="6">
        <v>3.0505420816122</v>
      </c>
      <c r="I248" s="6">
        <v>3.0505420816122</v>
      </c>
      <c r="J248" s="6">
        <v>3.0505420816122</v>
      </c>
      <c r="K248" s="6">
        <v>3.0505420816122</v>
      </c>
      <c r="L248" s="6">
        <v>3.0505420816122</v>
      </c>
      <c r="M248" s="6">
        <v>3.0505420816122</v>
      </c>
      <c r="N248" s="6">
        <v>0.0</v>
      </c>
      <c r="O248" s="6">
        <v>0.0</v>
      </c>
      <c r="P248" s="6">
        <v>0.0</v>
      </c>
      <c r="Q248" s="6">
        <v>473.057102031046</v>
      </c>
    </row>
    <row r="249">
      <c r="A249" s="6">
        <v>247.0</v>
      </c>
      <c r="B249" s="7">
        <v>46021.0</v>
      </c>
      <c r="C249" s="6">
        <v>470.774430273169</v>
      </c>
      <c r="D249" s="6">
        <v>440.536510090227</v>
      </c>
      <c r="E249" s="6">
        <v>506.405031460507</v>
      </c>
      <c r="F249" s="6">
        <v>470.774430273169</v>
      </c>
      <c r="G249" s="6">
        <v>470.774430273169</v>
      </c>
      <c r="H249" s="6">
        <v>2.33751047960863</v>
      </c>
      <c r="I249" s="6">
        <v>2.33751047960863</v>
      </c>
      <c r="J249" s="6">
        <v>2.33751047960863</v>
      </c>
      <c r="K249" s="6">
        <v>2.33751047960863</v>
      </c>
      <c r="L249" s="6">
        <v>2.33751047960863</v>
      </c>
      <c r="M249" s="6">
        <v>2.33751047960863</v>
      </c>
      <c r="N249" s="6">
        <v>0.0</v>
      </c>
      <c r="O249" s="6">
        <v>0.0</v>
      </c>
      <c r="P249" s="6">
        <v>0.0</v>
      </c>
      <c r="Q249" s="6">
        <v>473.111940752778</v>
      </c>
    </row>
    <row r="250">
      <c r="A250" s="6">
        <v>248.0</v>
      </c>
      <c r="B250" s="7">
        <v>46022.0</v>
      </c>
      <c r="C250" s="6">
        <v>471.542300596905</v>
      </c>
      <c r="D250" s="6">
        <v>440.915563060919</v>
      </c>
      <c r="E250" s="6">
        <v>513.93903914383</v>
      </c>
      <c r="F250" s="6">
        <v>471.542300596905</v>
      </c>
      <c r="G250" s="6">
        <v>471.542300596905</v>
      </c>
      <c r="H250" s="6">
        <v>5.01607185170014</v>
      </c>
      <c r="I250" s="6">
        <v>5.01607185170014</v>
      </c>
      <c r="J250" s="6">
        <v>5.01607185170014</v>
      </c>
      <c r="K250" s="6">
        <v>5.01607185170014</v>
      </c>
      <c r="L250" s="6">
        <v>5.01607185170014</v>
      </c>
      <c r="M250" s="6">
        <v>5.01607185170014</v>
      </c>
      <c r="N250" s="6">
        <v>0.0</v>
      </c>
      <c r="O250" s="6">
        <v>0.0</v>
      </c>
      <c r="P250" s="6">
        <v>0.0</v>
      </c>
      <c r="Q250" s="6">
        <v>476.558372448605</v>
      </c>
    </row>
    <row r="251">
      <c r="A251" s="6">
        <v>249.0</v>
      </c>
      <c r="B251" s="7">
        <v>46024.0</v>
      </c>
      <c r="C251" s="6">
        <v>473.078041244376</v>
      </c>
      <c r="D251" s="6">
        <v>442.127678772364</v>
      </c>
      <c r="E251" s="6">
        <v>509.996420129243</v>
      </c>
      <c r="F251" s="6">
        <v>473.078041244376</v>
      </c>
      <c r="G251" s="6">
        <v>473.078041244376</v>
      </c>
      <c r="H251" s="6">
        <v>2.56958435841698</v>
      </c>
      <c r="I251" s="6">
        <v>2.56958435841698</v>
      </c>
      <c r="J251" s="6">
        <v>2.56958435841698</v>
      </c>
      <c r="K251" s="6">
        <v>2.56958435841698</v>
      </c>
      <c r="L251" s="6">
        <v>2.56958435841698</v>
      </c>
      <c r="M251" s="6">
        <v>2.56958435841698</v>
      </c>
      <c r="N251" s="6">
        <v>0.0</v>
      </c>
      <c r="O251" s="6">
        <v>0.0</v>
      </c>
      <c r="P251" s="6">
        <v>0.0</v>
      </c>
      <c r="Q251" s="6">
        <v>475.647625602793</v>
      </c>
    </row>
    <row r="252">
      <c r="A252" s="6">
        <v>250.0</v>
      </c>
      <c r="B252" s="7">
        <v>46025.0</v>
      </c>
      <c r="C252" s="6">
        <v>473.845911568112</v>
      </c>
      <c r="D252" s="6">
        <v>428.859489964647</v>
      </c>
      <c r="E252" s="6">
        <v>500.915865992934</v>
      </c>
      <c r="F252" s="6">
        <v>473.845911568112</v>
      </c>
      <c r="G252" s="6">
        <v>473.845911568112</v>
      </c>
      <c r="H252" s="6">
        <v>-7.16214813627938</v>
      </c>
      <c r="I252" s="6">
        <v>-7.16214813627938</v>
      </c>
      <c r="J252" s="6">
        <v>-7.16214813627938</v>
      </c>
      <c r="K252" s="6">
        <v>-7.16214813627938</v>
      </c>
      <c r="L252" s="6">
        <v>-7.16214813627938</v>
      </c>
      <c r="M252" s="6">
        <v>-7.16214813627938</v>
      </c>
      <c r="N252" s="6">
        <v>0.0</v>
      </c>
      <c r="O252" s="6">
        <v>0.0</v>
      </c>
      <c r="P252" s="6">
        <v>0.0</v>
      </c>
      <c r="Q252" s="6">
        <v>466.683763431832</v>
      </c>
    </row>
    <row r="253">
      <c r="A253" s="6">
        <v>251.0</v>
      </c>
      <c r="B253" s="7">
        <v>46026.0</v>
      </c>
      <c r="C253" s="6">
        <v>474.613781891847</v>
      </c>
      <c r="D253" s="6">
        <v>431.365608001424</v>
      </c>
      <c r="E253" s="6">
        <v>504.137415707003</v>
      </c>
      <c r="F253" s="6">
        <v>474.613781891847</v>
      </c>
      <c r="G253" s="6">
        <v>474.613781891847</v>
      </c>
      <c r="H253" s="6">
        <v>-7.16214806121495</v>
      </c>
      <c r="I253" s="6">
        <v>-7.16214806121495</v>
      </c>
      <c r="J253" s="6">
        <v>-7.16214806121495</v>
      </c>
      <c r="K253" s="6">
        <v>-7.16214806121495</v>
      </c>
      <c r="L253" s="6">
        <v>-7.16214806121495</v>
      </c>
      <c r="M253" s="6">
        <v>-7.16214806121495</v>
      </c>
      <c r="N253" s="6">
        <v>0.0</v>
      </c>
      <c r="O253" s="6">
        <v>0.0</v>
      </c>
      <c r="P253" s="6">
        <v>0.0</v>
      </c>
      <c r="Q253" s="6">
        <v>467.451633830632</v>
      </c>
    </row>
    <row r="254">
      <c r="A254" s="6">
        <v>252.0</v>
      </c>
      <c r="B254" s="7">
        <v>46027.0</v>
      </c>
      <c r="C254" s="6">
        <v>475.381652215583</v>
      </c>
      <c r="D254" s="6">
        <v>445.722979740014</v>
      </c>
      <c r="E254" s="6">
        <v>513.897855352291</v>
      </c>
      <c r="F254" s="6">
        <v>475.381652215583</v>
      </c>
      <c r="G254" s="6">
        <v>475.402482655177</v>
      </c>
      <c r="H254" s="6">
        <v>3.05054208161835</v>
      </c>
      <c r="I254" s="6">
        <v>3.05054208161835</v>
      </c>
      <c r="J254" s="6">
        <v>3.05054208161835</v>
      </c>
      <c r="K254" s="6">
        <v>3.05054208161835</v>
      </c>
      <c r="L254" s="6">
        <v>3.05054208161835</v>
      </c>
      <c r="M254" s="6">
        <v>3.05054208161835</v>
      </c>
      <c r="N254" s="6">
        <v>0.0</v>
      </c>
      <c r="O254" s="6">
        <v>0.0</v>
      </c>
      <c r="P254" s="6">
        <v>0.0</v>
      </c>
      <c r="Q254" s="6">
        <v>478.432194297201</v>
      </c>
    </row>
    <row r="255">
      <c r="A255" s="6">
        <v>253.0</v>
      </c>
      <c r="B255" s="7">
        <v>46028.0</v>
      </c>
      <c r="C255" s="6">
        <v>476.149522539318</v>
      </c>
      <c r="D255" s="6">
        <v>444.108043845773</v>
      </c>
      <c r="E255" s="6">
        <v>513.967473582676</v>
      </c>
      <c r="F255" s="6">
        <v>476.121034538945</v>
      </c>
      <c r="G255" s="6">
        <v>476.22039100011</v>
      </c>
      <c r="H255" s="6">
        <v>2.33751047961089</v>
      </c>
      <c r="I255" s="6">
        <v>2.33751047961089</v>
      </c>
      <c r="J255" s="6">
        <v>2.33751047961089</v>
      </c>
      <c r="K255" s="6">
        <v>2.33751047961089</v>
      </c>
      <c r="L255" s="6">
        <v>2.33751047961089</v>
      </c>
      <c r="M255" s="6">
        <v>2.33751047961089</v>
      </c>
      <c r="N255" s="6">
        <v>0.0</v>
      </c>
      <c r="O255" s="6">
        <v>0.0</v>
      </c>
      <c r="P255" s="6">
        <v>0.0</v>
      </c>
      <c r="Q255" s="6">
        <v>478.487033018929</v>
      </c>
    </row>
    <row r="256">
      <c r="A256" s="6">
        <v>254.0</v>
      </c>
      <c r="B256" s="7">
        <v>46029.0</v>
      </c>
      <c r="C256" s="6">
        <v>476.917392863054</v>
      </c>
      <c r="D256" s="6">
        <v>444.018812405383</v>
      </c>
      <c r="E256" s="6">
        <v>518.574061569022</v>
      </c>
      <c r="F256" s="6">
        <v>476.829424567171</v>
      </c>
      <c r="G256" s="6">
        <v>477.057307249731</v>
      </c>
      <c r="H256" s="6">
        <v>5.01607185169965</v>
      </c>
      <c r="I256" s="6">
        <v>5.01607185169965</v>
      </c>
      <c r="J256" s="6">
        <v>5.01607185169965</v>
      </c>
      <c r="K256" s="6">
        <v>5.01607185169965</v>
      </c>
      <c r="L256" s="6">
        <v>5.01607185169965</v>
      </c>
      <c r="M256" s="6">
        <v>5.01607185169965</v>
      </c>
      <c r="N256" s="6">
        <v>0.0</v>
      </c>
      <c r="O256" s="6">
        <v>0.0</v>
      </c>
      <c r="P256" s="6">
        <v>0.0</v>
      </c>
      <c r="Q256" s="6">
        <v>481.933464714753</v>
      </c>
    </row>
    <row r="257">
      <c r="A257" s="6">
        <v>255.0</v>
      </c>
      <c r="B257" s="7">
        <v>46030.0</v>
      </c>
      <c r="C257" s="6">
        <v>477.685263186789</v>
      </c>
      <c r="D257" s="6">
        <v>445.120177365497</v>
      </c>
      <c r="E257" s="6">
        <v>514.669470733425</v>
      </c>
      <c r="F257" s="6">
        <v>477.49120897941</v>
      </c>
      <c r="G257" s="6">
        <v>477.908506903303</v>
      </c>
      <c r="H257" s="6">
        <v>1.35058742613381</v>
      </c>
      <c r="I257" s="6">
        <v>1.35058742613381</v>
      </c>
      <c r="J257" s="6">
        <v>1.35058742613381</v>
      </c>
      <c r="K257" s="6">
        <v>1.35058742613381</v>
      </c>
      <c r="L257" s="6">
        <v>1.35058742613381</v>
      </c>
      <c r="M257" s="6">
        <v>1.35058742613381</v>
      </c>
      <c r="N257" s="6">
        <v>0.0</v>
      </c>
      <c r="O257" s="6">
        <v>0.0</v>
      </c>
      <c r="P257" s="6">
        <v>0.0</v>
      </c>
      <c r="Q257" s="6">
        <v>479.035850612923</v>
      </c>
    </row>
    <row r="258">
      <c r="A258" s="6">
        <v>256.0</v>
      </c>
      <c r="B258" s="7">
        <v>46031.0</v>
      </c>
      <c r="C258" s="6">
        <v>478.453133510525</v>
      </c>
      <c r="D258" s="6">
        <v>445.252523514478</v>
      </c>
      <c r="E258" s="6">
        <v>515.675918424728</v>
      </c>
      <c r="F258" s="6">
        <v>478.165616811992</v>
      </c>
      <c r="G258" s="6">
        <v>478.802870338337</v>
      </c>
      <c r="H258" s="6">
        <v>2.56958435842266</v>
      </c>
      <c r="I258" s="6">
        <v>2.56958435842266</v>
      </c>
      <c r="J258" s="6">
        <v>2.56958435842266</v>
      </c>
      <c r="K258" s="6">
        <v>2.56958435842266</v>
      </c>
      <c r="L258" s="6">
        <v>2.56958435842266</v>
      </c>
      <c r="M258" s="6">
        <v>2.56958435842266</v>
      </c>
      <c r="N258" s="6">
        <v>0.0</v>
      </c>
      <c r="O258" s="6">
        <v>0.0</v>
      </c>
      <c r="P258" s="6">
        <v>0.0</v>
      </c>
      <c r="Q258" s="6">
        <v>481.022717868948</v>
      </c>
    </row>
    <row r="259">
      <c r="A259" s="6">
        <v>257.0</v>
      </c>
      <c r="B259" s="7">
        <v>46032.0</v>
      </c>
      <c r="C259" s="6">
        <v>479.22100383426</v>
      </c>
      <c r="D259" s="6">
        <v>436.617461277826</v>
      </c>
      <c r="E259" s="6">
        <v>505.818394656077</v>
      </c>
      <c r="F259" s="6">
        <v>478.784437222614</v>
      </c>
      <c r="G259" s="6">
        <v>479.656612221858</v>
      </c>
      <c r="H259" s="6">
        <v>-7.16214813627993</v>
      </c>
      <c r="I259" s="6">
        <v>-7.16214813627993</v>
      </c>
      <c r="J259" s="6">
        <v>-7.16214813627993</v>
      </c>
      <c r="K259" s="6">
        <v>-7.16214813627993</v>
      </c>
      <c r="L259" s="6">
        <v>-7.16214813627993</v>
      </c>
      <c r="M259" s="6">
        <v>-7.16214813627993</v>
      </c>
      <c r="N259" s="6">
        <v>0.0</v>
      </c>
      <c r="O259" s="6">
        <v>0.0</v>
      </c>
      <c r="P259" s="6">
        <v>0.0</v>
      </c>
      <c r="Q259" s="6">
        <v>472.058855697981</v>
      </c>
    </row>
    <row r="260">
      <c r="A260" s="6">
        <v>258.0</v>
      </c>
      <c r="B260" s="7">
        <v>46033.0</v>
      </c>
      <c r="C260" s="6">
        <v>479.988874157996</v>
      </c>
      <c r="D260" s="6">
        <v>437.822176074001</v>
      </c>
      <c r="E260" s="6">
        <v>508.273497366696</v>
      </c>
      <c r="F260" s="6">
        <v>479.402233117009</v>
      </c>
      <c r="G260" s="6">
        <v>480.601186948322</v>
      </c>
      <c r="H260" s="6">
        <v>-7.16214806119732</v>
      </c>
      <c r="I260" s="6">
        <v>-7.16214806119732</v>
      </c>
      <c r="J260" s="6">
        <v>-7.16214806119732</v>
      </c>
      <c r="K260" s="6">
        <v>-7.16214806119732</v>
      </c>
      <c r="L260" s="6">
        <v>-7.16214806119732</v>
      </c>
      <c r="M260" s="6">
        <v>-7.16214806119732</v>
      </c>
      <c r="N260" s="6">
        <v>0.0</v>
      </c>
      <c r="O260" s="6">
        <v>0.0</v>
      </c>
      <c r="P260" s="6">
        <v>0.0</v>
      </c>
      <c r="Q260" s="6">
        <v>472.826726096799</v>
      </c>
    </row>
    <row r="261">
      <c r="A261" s="6">
        <v>259.0</v>
      </c>
      <c r="B261" s="7">
        <v>46034.0</v>
      </c>
      <c r="C261" s="6">
        <v>480.756744481732</v>
      </c>
      <c r="D261" s="6">
        <v>449.740700717704</v>
      </c>
      <c r="E261" s="6">
        <v>520.213925225872</v>
      </c>
      <c r="F261" s="6">
        <v>480.052421097622</v>
      </c>
      <c r="G261" s="6">
        <v>481.505089804541</v>
      </c>
      <c r="H261" s="6">
        <v>3.05054208161318</v>
      </c>
      <c r="I261" s="6">
        <v>3.05054208161318</v>
      </c>
      <c r="J261" s="6">
        <v>3.05054208161318</v>
      </c>
      <c r="K261" s="6">
        <v>3.05054208161318</v>
      </c>
      <c r="L261" s="6">
        <v>3.05054208161318</v>
      </c>
      <c r="M261" s="6">
        <v>3.05054208161318</v>
      </c>
      <c r="N261" s="6">
        <v>0.0</v>
      </c>
      <c r="O261" s="6">
        <v>0.0</v>
      </c>
      <c r="P261" s="6">
        <v>0.0</v>
      </c>
      <c r="Q261" s="6">
        <v>483.807286563345</v>
      </c>
    </row>
    <row r="262">
      <c r="A262" s="6">
        <v>260.0</v>
      </c>
      <c r="B262" s="7">
        <v>46035.0</v>
      </c>
      <c r="C262" s="6">
        <v>481.524614805467</v>
      </c>
      <c r="D262" s="6">
        <v>449.549116319908</v>
      </c>
      <c r="E262" s="6">
        <v>520.096458001359</v>
      </c>
      <c r="F262" s="6">
        <v>480.683193451961</v>
      </c>
      <c r="G262" s="6">
        <v>482.415663463093</v>
      </c>
      <c r="H262" s="6">
        <v>2.33751047960826</v>
      </c>
      <c r="I262" s="6">
        <v>2.33751047960826</v>
      </c>
      <c r="J262" s="6">
        <v>2.33751047960826</v>
      </c>
      <c r="K262" s="6">
        <v>2.33751047960826</v>
      </c>
      <c r="L262" s="6">
        <v>2.33751047960826</v>
      </c>
      <c r="M262" s="6">
        <v>2.33751047960826</v>
      </c>
      <c r="N262" s="6">
        <v>0.0</v>
      </c>
      <c r="O262" s="6">
        <v>0.0</v>
      </c>
      <c r="P262" s="6">
        <v>0.0</v>
      </c>
      <c r="Q262" s="6">
        <v>483.862125285075</v>
      </c>
    </row>
    <row r="263">
      <c r="A263" s="6">
        <v>261.0</v>
      </c>
      <c r="B263" s="7">
        <v>46036.0</v>
      </c>
      <c r="C263" s="6">
        <v>482.292485129203</v>
      </c>
      <c r="D263" s="6">
        <v>454.498078061283</v>
      </c>
      <c r="E263" s="6">
        <v>522.35164312885</v>
      </c>
      <c r="F263" s="6">
        <v>481.319298786877</v>
      </c>
      <c r="G263" s="6">
        <v>483.361285851109</v>
      </c>
      <c r="H263" s="6">
        <v>5.01607185169905</v>
      </c>
      <c r="I263" s="6">
        <v>5.01607185169905</v>
      </c>
      <c r="J263" s="6">
        <v>5.01607185169905</v>
      </c>
      <c r="K263" s="6">
        <v>5.01607185169905</v>
      </c>
      <c r="L263" s="6">
        <v>5.01607185169905</v>
      </c>
      <c r="M263" s="6">
        <v>5.01607185169905</v>
      </c>
      <c r="N263" s="6">
        <v>0.0</v>
      </c>
      <c r="O263" s="6">
        <v>0.0</v>
      </c>
      <c r="P263" s="6">
        <v>0.0</v>
      </c>
      <c r="Q263" s="6">
        <v>487.308556980902</v>
      </c>
    </row>
    <row r="264">
      <c r="A264" s="6">
        <v>262.0</v>
      </c>
      <c r="B264" s="7">
        <v>46037.0</v>
      </c>
      <c r="C264" s="6">
        <v>483.060355452938</v>
      </c>
      <c r="D264" s="6">
        <v>448.015842889072</v>
      </c>
      <c r="E264" s="6">
        <v>520.697772445074</v>
      </c>
      <c r="F264" s="6">
        <v>481.909555701752</v>
      </c>
      <c r="G264" s="6">
        <v>484.251722588251</v>
      </c>
      <c r="H264" s="6">
        <v>1.3505874261437</v>
      </c>
      <c r="I264" s="6">
        <v>1.3505874261437</v>
      </c>
      <c r="J264" s="6">
        <v>1.3505874261437</v>
      </c>
      <c r="K264" s="6">
        <v>1.3505874261437</v>
      </c>
      <c r="L264" s="6">
        <v>1.3505874261437</v>
      </c>
      <c r="M264" s="6">
        <v>1.3505874261437</v>
      </c>
      <c r="N264" s="6">
        <v>0.0</v>
      </c>
      <c r="O264" s="6">
        <v>0.0</v>
      </c>
      <c r="P264" s="6">
        <v>0.0</v>
      </c>
      <c r="Q264" s="6">
        <v>484.410942879082</v>
      </c>
    </row>
    <row r="265">
      <c r="A265" s="6">
        <v>263.0</v>
      </c>
      <c r="B265" s="7">
        <v>46038.0</v>
      </c>
      <c r="C265" s="6">
        <v>483.828225776674</v>
      </c>
      <c r="D265" s="6">
        <v>450.460254385341</v>
      </c>
      <c r="E265" s="6">
        <v>519.917723096163</v>
      </c>
      <c r="F265" s="6">
        <v>482.5130976141</v>
      </c>
      <c r="G265" s="6">
        <v>485.191516457753</v>
      </c>
      <c r="H265" s="6">
        <v>2.56958435840123</v>
      </c>
      <c r="I265" s="6">
        <v>2.56958435840123</v>
      </c>
      <c r="J265" s="6">
        <v>2.56958435840123</v>
      </c>
      <c r="K265" s="6">
        <v>2.56958435840123</v>
      </c>
      <c r="L265" s="6">
        <v>2.56958435840123</v>
      </c>
      <c r="M265" s="6">
        <v>2.56958435840123</v>
      </c>
      <c r="N265" s="6">
        <v>0.0</v>
      </c>
      <c r="O265" s="6">
        <v>0.0</v>
      </c>
      <c r="P265" s="6">
        <v>0.0</v>
      </c>
      <c r="Q265" s="6">
        <v>486.397810135075</v>
      </c>
    </row>
    <row r="266">
      <c r="A266" s="6">
        <v>264.0</v>
      </c>
      <c r="B266" s="7">
        <v>46039.0</v>
      </c>
      <c r="C266" s="6">
        <v>484.596096100409</v>
      </c>
      <c r="D266" s="6">
        <v>440.524371651488</v>
      </c>
      <c r="E266" s="6">
        <v>512.94019670339</v>
      </c>
      <c r="F266" s="6">
        <v>483.044588469208</v>
      </c>
      <c r="G266" s="6">
        <v>486.107642148101</v>
      </c>
      <c r="H266" s="6">
        <v>-7.16214813625618</v>
      </c>
      <c r="I266" s="6">
        <v>-7.16214813625618</v>
      </c>
      <c r="J266" s="6">
        <v>-7.16214813625618</v>
      </c>
      <c r="K266" s="6">
        <v>-7.16214813625618</v>
      </c>
      <c r="L266" s="6">
        <v>-7.16214813625618</v>
      </c>
      <c r="M266" s="6">
        <v>-7.16214813625618</v>
      </c>
      <c r="N266" s="6">
        <v>0.0</v>
      </c>
      <c r="O266" s="6">
        <v>0.0</v>
      </c>
      <c r="P266" s="6">
        <v>0.0</v>
      </c>
      <c r="Q266" s="6">
        <v>477.433947964153</v>
      </c>
    </row>
    <row r="267">
      <c r="A267" s="6">
        <v>265.0</v>
      </c>
      <c r="B267" s="7">
        <v>46040.0</v>
      </c>
      <c r="C267" s="6">
        <v>485.363966424145</v>
      </c>
      <c r="D267" s="6">
        <v>442.222037550058</v>
      </c>
      <c r="E267" s="6">
        <v>511.416690005824</v>
      </c>
      <c r="F267" s="6">
        <v>483.638355693688</v>
      </c>
      <c r="G267" s="6">
        <v>487.044930907307</v>
      </c>
      <c r="H267" s="6">
        <v>-7.16214806119672</v>
      </c>
      <c r="I267" s="6">
        <v>-7.16214806119672</v>
      </c>
      <c r="J267" s="6">
        <v>-7.16214806119672</v>
      </c>
      <c r="K267" s="6">
        <v>-7.16214806119672</v>
      </c>
      <c r="L267" s="6">
        <v>-7.16214806119672</v>
      </c>
      <c r="M267" s="6">
        <v>-7.16214806119672</v>
      </c>
      <c r="N267" s="6">
        <v>0.0</v>
      </c>
      <c r="O267" s="6">
        <v>0.0</v>
      </c>
      <c r="P267" s="6">
        <v>0.0</v>
      </c>
      <c r="Q267" s="6">
        <v>478.201818362948</v>
      </c>
    </row>
    <row r="268">
      <c r="A268" s="6">
        <v>266.0</v>
      </c>
      <c r="B268" s="7">
        <v>46041.0</v>
      </c>
      <c r="C268" s="6">
        <v>486.13183674788</v>
      </c>
      <c r="D268" s="6">
        <v>453.567286320344</v>
      </c>
      <c r="E268" s="6">
        <v>524.192659039924</v>
      </c>
      <c r="F268" s="6">
        <v>484.227518236443</v>
      </c>
      <c r="G268" s="6">
        <v>488.074468058937</v>
      </c>
      <c r="H268" s="6">
        <v>3.050542081608</v>
      </c>
      <c r="I268" s="6">
        <v>3.050542081608</v>
      </c>
      <c r="J268" s="6">
        <v>3.050542081608</v>
      </c>
      <c r="K268" s="6">
        <v>3.050542081608</v>
      </c>
      <c r="L268" s="6">
        <v>3.050542081608</v>
      </c>
      <c r="M268" s="6">
        <v>3.050542081608</v>
      </c>
      <c r="N268" s="6">
        <v>0.0</v>
      </c>
      <c r="O268" s="6">
        <v>0.0</v>
      </c>
      <c r="P268" s="6">
        <v>0.0</v>
      </c>
      <c r="Q268" s="6">
        <v>489.182378829488</v>
      </c>
    </row>
    <row r="269">
      <c r="A269" s="6">
        <v>267.0</v>
      </c>
      <c r="B269" s="7">
        <v>46042.0</v>
      </c>
      <c r="C269" s="6">
        <v>486.899707071616</v>
      </c>
      <c r="D269" s="6">
        <v>452.475269579958</v>
      </c>
      <c r="E269" s="6">
        <v>521.904036959149</v>
      </c>
      <c r="F269" s="6">
        <v>484.830629787223</v>
      </c>
      <c r="G269" s="6">
        <v>489.096668714484</v>
      </c>
      <c r="H269" s="6">
        <v>2.33751047961329</v>
      </c>
      <c r="I269" s="6">
        <v>2.33751047961329</v>
      </c>
      <c r="J269" s="6">
        <v>2.33751047961329</v>
      </c>
      <c r="K269" s="6">
        <v>2.33751047961329</v>
      </c>
      <c r="L269" s="6">
        <v>2.33751047961329</v>
      </c>
      <c r="M269" s="6">
        <v>2.33751047961329</v>
      </c>
      <c r="N269" s="6">
        <v>0.0</v>
      </c>
      <c r="O269" s="6">
        <v>0.0</v>
      </c>
      <c r="P269" s="6">
        <v>0.0</v>
      </c>
      <c r="Q269" s="6">
        <v>489.237217551229</v>
      </c>
    </row>
    <row r="270">
      <c r="A270" s="6">
        <v>268.0</v>
      </c>
      <c r="B270" s="7">
        <v>46043.0</v>
      </c>
      <c r="C270" s="6">
        <v>487.667577395352</v>
      </c>
      <c r="D270" s="6">
        <v>459.041095158895</v>
      </c>
      <c r="E270" s="6">
        <v>529.300255446776</v>
      </c>
      <c r="F270" s="6">
        <v>485.375443696684</v>
      </c>
      <c r="G270" s="6">
        <v>490.042732711566</v>
      </c>
      <c r="H270" s="6">
        <v>5.01607185169855</v>
      </c>
      <c r="I270" s="6">
        <v>5.01607185169855</v>
      </c>
      <c r="J270" s="6">
        <v>5.01607185169855</v>
      </c>
      <c r="K270" s="6">
        <v>5.01607185169855</v>
      </c>
      <c r="L270" s="6">
        <v>5.01607185169855</v>
      </c>
      <c r="M270" s="6">
        <v>5.01607185169855</v>
      </c>
      <c r="N270" s="6">
        <v>0.0</v>
      </c>
      <c r="O270" s="6">
        <v>0.0</v>
      </c>
      <c r="P270" s="6">
        <v>0.0</v>
      </c>
      <c r="Q270" s="6">
        <v>492.68364924705</v>
      </c>
    </row>
    <row r="271">
      <c r="A271" s="6">
        <v>269.0</v>
      </c>
      <c r="B271" s="7">
        <v>46044.0</v>
      </c>
      <c r="C271" s="6">
        <v>488.435447719087</v>
      </c>
      <c r="D271" s="6">
        <v>454.118497459142</v>
      </c>
      <c r="E271" s="6">
        <v>523.850357847713</v>
      </c>
      <c r="F271" s="6">
        <v>485.907240923246</v>
      </c>
      <c r="G271" s="6">
        <v>491.021481355678</v>
      </c>
      <c r="H271" s="6">
        <v>1.35058742613467</v>
      </c>
      <c r="I271" s="6">
        <v>1.35058742613467</v>
      </c>
      <c r="J271" s="6">
        <v>1.35058742613467</v>
      </c>
      <c r="K271" s="6">
        <v>1.35058742613467</v>
      </c>
      <c r="L271" s="6">
        <v>1.35058742613467</v>
      </c>
      <c r="M271" s="6">
        <v>1.35058742613467</v>
      </c>
      <c r="N271" s="6">
        <v>0.0</v>
      </c>
      <c r="O271" s="6">
        <v>0.0</v>
      </c>
      <c r="P271" s="6">
        <v>0.0</v>
      </c>
      <c r="Q271" s="6">
        <v>489.786035145222</v>
      </c>
    </row>
    <row r="272">
      <c r="A272" s="6">
        <v>270.0</v>
      </c>
      <c r="B272" s="7">
        <v>46045.0</v>
      </c>
      <c r="C272" s="6">
        <v>489.203318042823</v>
      </c>
      <c r="D272" s="6">
        <v>457.371923161174</v>
      </c>
      <c r="E272" s="6">
        <v>527.765188115886</v>
      </c>
      <c r="F272" s="6">
        <v>486.49002852323</v>
      </c>
      <c r="G272" s="6">
        <v>492.09422037456</v>
      </c>
      <c r="H272" s="6">
        <v>2.56958435840691</v>
      </c>
      <c r="I272" s="6">
        <v>2.56958435840691</v>
      </c>
      <c r="J272" s="6">
        <v>2.56958435840691</v>
      </c>
      <c r="K272" s="6">
        <v>2.56958435840691</v>
      </c>
      <c r="L272" s="6">
        <v>2.56958435840691</v>
      </c>
      <c r="M272" s="6">
        <v>2.56958435840691</v>
      </c>
      <c r="N272" s="6">
        <v>0.0</v>
      </c>
      <c r="O272" s="6">
        <v>0.0</v>
      </c>
      <c r="P272" s="6">
        <v>0.0</v>
      </c>
      <c r="Q272" s="6">
        <v>491.77290240123</v>
      </c>
    </row>
    <row r="273">
      <c r="A273" s="6">
        <v>271.0</v>
      </c>
      <c r="B273" s="7">
        <v>46046.0</v>
      </c>
      <c r="C273" s="6">
        <v>489.971188366558</v>
      </c>
      <c r="D273" s="6">
        <v>449.786189186629</v>
      </c>
      <c r="E273" s="6">
        <v>518.493979111125</v>
      </c>
      <c r="F273" s="6">
        <v>486.993100589778</v>
      </c>
      <c r="G273" s="6">
        <v>493.050661342909</v>
      </c>
      <c r="H273" s="6">
        <v>-7.16214813625673</v>
      </c>
      <c r="I273" s="6">
        <v>-7.16214813625673</v>
      </c>
      <c r="J273" s="6">
        <v>-7.16214813625673</v>
      </c>
      <c r="K273" s="6">
        <v>-7.16214813625673</v>
      </c>
      <c r="L273" s="6">
        <v>-7.16214813625673</v>
      </c>
      <c r="M273" s="6">
        <v>-7.16214813625673</v>
      </c>
      <c r="N273" s="6">
        <v>0.0</v>
      </c>
      <c r="O273" s="6">
        <v>0.0</v>
      </c>
      <c r="P273" s="6">
        <v>0.0</v>
      </c>
      <c r="Q273" s="6">
        <v>482.809040230301</v>
      </c>
    </row>
    <row r="274">
      <c r="A274" s="6">
        <v>272.0</v>
      </c>
      <c r="B274" s="7">
        <v>46047.0</v>
      </c>
      <c r="C274" s="6">
        <v>490.739058690294</v>
      </c>
      <c r="D274" s="6">
        <v>447.195216949197</v>
      </c>
      <c r="E274" s="6">
        <v>519.275505301267</v>
      </c>
      <c r="F274" s="6">
        <v>487.58408578993</v>
      </c>
      <c r="G274" s="6">
        <v>494.087343850551</v>
      </c>
      <c r="H274" s="6">
        <v>-7.16214806117909</v>
      </c>
      <c r="I274" s="6">
        <v>-7.16214806117909</v>
      </c>
      <c r="J274" s="6">
        <v>-7.16214806117909</v>
      </c>
      <c r="K274" s="6">
        <v>-7.16214806117909</v>
      </c>
      <c r="L274" s="6">
        <v>-7.16214806117909</v>
      </c>
      <c r="M274" s="6">
        <v>-7.16214806117909</v>
      </c>
      <c r="N274" s="6">
        <v>0.0</v>
      </c>
      <c r="O274" s="6">
        <v>0.0</v>
      </c>
      <c r="P274" s="6">
        <v>0.0</v>
      </c>
      <c r="Q274" s="6">
        <v>483.576910629115</v>
      </c>
    </row>
    <row r="275">
      <c r="A275" s="6">
        <v>273.0</v>
      </c>
      <c r="B275" s="7">
        <v>46048.0</v>
      </c>
      <c r="C275" s="6">
        <v>491.506929014029</v>
      </c>
      <c r="D275" s="6">
        <v>459.37153181788</v>
      </c>
      <c r="E275" s="6">
        <v>532.145281783118</v>
      </c>
      <c r="F275" s="6">
        <v>488.137814226598</v>
      </c>
      <c r="G275" s="6">
        <v>495.075436020679</v>
      </c>
      <c r="H275" s="6">
        <v>3.05054208161653</v>
      </c>
      <c r="I275" s="6">
        <v>3.05054208161653</v>
      </c>
      <c r="J275" s="6">
        <v>3.05054208161653</v>
      </c>
      <c r="K275" s="6">
        <v>3.05054208161653</v>
      </c>
      <c r="L275" s="6">
        <v>3.05054208161653</v>
      </c>
      <c r="M275" s="6">
        <v>3.05054208161653</v>
      </c>
      <c r="N275" s="6">
        <v>0.0</v>
      </c>
      <c r="O275" s="6">
        <v>0.0</v>
      </c>
      <c r="P275" s="6">
        <v>0.0</v>
      </c>
      <c r="Q275" s="6">
        <v>494.557471095646</v>
      </c>
    </row>
    <row r="276">
      <c r="A276" s="6">
        <v>274.0</v>
      </c>
      <c r="B276" s="7">
        <v>46049.0</v>
      </c>
      <c r="C276" s="6">
        <v>492.274799337765</v>
      </c>
      <c r="D276" s="6">
        <v>461.186042533787</v>
      </c>
      <c r="E276" s="6">
        <v>528.964162195048</v>
      </c>
      <c r="F276" s="6">
        <v>488.606887208315</v>
      </c>
      <c r="G276" s="6">
        <v>496.078714701419</v>
      </c>
      <c r="H276" s="6">
        <v>2.33751047960299</v>
      </c>
      <c r="I276" s="6">
        <v>2.33751047960299</v>
      </c>
      <c r="J276" s="6">
        <v>2.33751047960299</v>
      </c>
      <c r="K276" s="6">
        <v>2.33751047960299</v>
      </c>
      <c r="L276" s="6">
        <v>2.33751047960299</v>
      </c>
      <c r="M276" s="6">
        <v>2.33751047960299</v>
      </c>
      <c r="N276" s="6">
        <v>0.0</v>
      </c>
      <c r="O276" s="6">
        <v>0.0</v>
      </c>
      <c r="P276" s="6">
        <v>0.0</v>
      </c>
      <c r="Q276" s="6">
        <v>494.612309817368</v>
      </c>
    </row>
    <row r="277">
      <c r="A277" s="6">
        <v>275.0</v>
      </c>
      <c r="B277" s="7">
        <v>46050.0</v>
      </c>
      <c r="C277" s="6">
        <v>493.0426696615</v>
      </c>
      <c r="D277" s="6">
        <v>462.338891280793</v>
      </c>
      <c r="E277" s="6">
        <v>535.810389073475</v>
      </c>
      <c r="F277" s="6">
        <v>489.145091542382</v>
      </c>
      <c r="G277" s="6">
        <v>497.15887945122</v>
      </c>
      <c r="H277" s="6">
        <v>5.01607185170092</v>
      </c>
      <c r="I277" s="6">
        <v>5.01607185170092</v>
      </c>
      <c r="J277" s="6">
        <v>5.01607185170092</v>
      </c>
      <c r="K277" s="6">
        <v>5.01607185170092</v>
      </c>
      <c r="L277" s="6">
        <v>5.01607185170092</v>
      </c>
      <c r="M277" s="6">
        <v>5.01607185170092</v>
      </c>
      <c r="N277" s="6">
        <v>0.0</v>
      </c>
      <c r="O277" s="6">
        <v>0.0</v>
      </c>
      <c r="P277" s="6">
        <v>0.0</v>
      </c>
      <c r="Q277" s="6">
        <v>498.058741513201</v>
      </c>
    </row>
    <row r="278">
      <c r="A278" s="6">
        <v>276.0</v>
      </c>
      <c r="B278" s="7">
        <v>46051.0</v>
      </c>
      <c r="C278" s="6">
        <v>493.810539985236</v>
      </c>
      <c r="D278" s="6">
        <v>459.922825154768</v>
      </c>
      <c r="E278" s="6">
        <v>530.934887628673</v>
      </c>
      <c r="F278" s="6">
        <v>489.669555426125</v>
      </c>
      <c r="G278" s="6">
        <v>498.26578427492</v>
      </c>
      <c r="H278" s="6">
        <v>1.35058742614456</v>
      </c>
      <c r="I278" s="6">
        <v>1.35058742614456</v>
      </c>
      <c r="J278" s="6">
        <v>1.35058742614456</v>
      </c>
      <c r="K278" s="6">
        <v>1.35058742614456</v>
      </c>
      <c r="L278" s="6">
        <v>1.35058742614456</v>
      </c>
      <c r="M278" s="6">
        <v>1.35058742614456</v>
      </c>
      <c r="N278" s="6">
        <v>0.0</v>
      </c>
      <c r="O278" s="6">
        <v>0.0</v>
      </c>
      <c r="P278" s="6">
        <v>0.0</v>
      </c>
      <c r="Q278" s="6">
        <v>495.161127411381</v>
      </c>
    </row>
    <row r="279">
      <c r="A279" s="6">
        <v>277.0</v>
      </c>
      <c r="B279" s="7">
        <v>46052.0</v>
      </c>
      <c r="C279" s="6">
        <v>494.578410308972</v>
      </c>
      <c r="D279" s="6">
        <v>460.559129703293</v>
      </c>
      <c r="E279" s="6">
        <v>532.31749681915</v>
      </c>
      <c r="F279" s="6">
        <v>490.180234610361</v>
      </c>
      <c r="G279" s="6">
        <v>499.253601541429</v>
      </c>
      <c r="H279" s="6">
        <v>2.5695843584126</v>
      </c>
      <c r="I279" s="6">
        <v>2.5695843584126</v>
      </c>
      <c r="J279" s="6">
        <v>2.5695843584126</v>
      </c>
      <c r="K279" s="6">
        <v>2.5695843584126</v>
      </c>
      <c r="L279" s="6">
        <v>2.5695843584126</v>
      </c>
      <c r="M279" s="6">
        <v>2.5695843584126</v>
      </c>
      <c r="N279" s="6">
        <v>0.0</v>
      </c>
      <c r="O279" s="6">
        <v>0.0</v>
      </c>
      <c r="P279" s="6">
        <v>0.0</v>
      </c>
      <c r="Q279" s="6">
        <v>497.147994667384</v>
      </c>
    </row>
    <row r="280">
      <c r="A280" s="6">
        <v>278.0</v>
      </c>
      <c r="B280" s="7">
        <v>46053.0</v>
      </c>
      <c r="C280" s="6">
        <v>495.346280632707</v>
      </c>
      <c r="D280" s="6">
        <v>452.408387572627</v>
      </c>
      <c r="E280" s="6">
        <v>521.887303814984</v>
      </c>
      <c r="F280" s="6">
        <v>490.644391608208</v>
      </c>
      <c r="G280" s="6">
        <v>500.274479290883</v>
      </c>
      <c r="H280" s="6">
        <v>-7.16214813627425</v>
      </c>
      <c r="I280" s="6">
        <v>-7.16214813627425</v>
      </c>
      <c r="J280" s="6">
        <v>-7.16214813627425</v>
      </c>
      <c r="K280" s="6">
        <v>-7.16214813627425</v>
      </c>
      <c r="L280" s="6">
        <v>-7.16214813627425</v>
      </c>
      <c r="M280" s="6">
        <v>-7.16214813627425</v>
      </c>
      <c r="N280" s="6">
        <v>0.0</v>
      </c>
      <c r="O280" s="6">
        <v>0.0</v>
      </c>
      <c r="P280" s="6">
        <v>0.0</v>
      </c>
      <c r="Q280" s="6">
        <v>488.184132496433</v>
      </c>
    </row>
    <row r="281">
      <c r="A281" s="6">
        <v>279.0</v>
      </c>
      <c r="B281" s="7">
        <v>46054.0</v>
      </c>
      <c r="C281" s="6">
        <v>496.114150956443</v>
      </c>
      <c r="D281" s="6">
        <v>453.211222817639</v>
      </c>
      <c r="E281" s="6">
        <v>525.092671366152</v>
      </c>
      <c r="F281" s="6">
        <v>491.202564732037</v>
      </c>
      <c r="G281" s="6">
        <v>501.373399574994</v>
      </c>
      <c r="H281" s="6">
        <v>-7.16214806117849</v>
      </c>
      <c r="I281" s="6">
        <v>-7.16214806117849</v>
      </c>
      <c r="J281" s="6">
        <v>-7.16214806117849</v>
      </c>
      <c r="K281" s="6">
        <v>-7.16214806117849</v>
      </c>
      <c r="L281" s="6">
        <v>-7.16214806117849</v>
      </c>
      <c r="M281" s="6">
        <v>-7.16214806117849</v>
      </c>
      <c r="N281" s="6">
        <v>0.0</v>
      </c>
      <c r="O281" s="6">
        <v>0.0</v>
      </c>
      <c r="P281" s="6">
        <v>0.0</v>
      </c>
      <c r="Q281" s="6">
        <v>488.952002895264</v>
      </c>
    </row>
  </sheetData>
  <drawing r:id="rId1"/>
</worksheet>
</file>